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290ECF47-970B-4D6A-A160-E352F4276EC1}" xr6:coauthVersionLast="47" xr6:coauthVersionMax="47" xr10:uidLastSave="{00000000-0000-0000-0000-000000000000}"/>
  <bookViews>
    <workbookView xWindow="-108" yWindow="-108" windowWidth="23256" windowHeight="13896" firstSheet="1" activeTab="6" xr2:uid="{00000000-000D-0000-FFFF-FFFF00000000}"/>
  </bookViews>
  <sheets>
    <sheet name="orders" sheetId="17" r:id="rId1"/>
    <sheet name="customers" sheetId="13" r:id="rId2"/>
    <sheet name="products" sheetId="2" r:id="rId3"/>
    <sheet name="TotalSales" sheetId="18" r:id="rId4"/>
    <sheet name="SalesbyCountry" sheetId="19" r:id="rId5"/>
    <sheet name="Top5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13" i="17"/>
  <c r="O10" i="17" a="1"/>
  <c r="O10" i="17" s="1"/>
  <c r="O16" i="17" a="1"/>
  <c r="O16" i="17" s="1"/>
  <c r="O17" i="17" a="1"/>
  <c r="O17" i="17" s="1"/>
  <c r="O18" i="17" a="1"/>
  <c r="O18" i="17" s="1"/>
  <c r="O23" i="17" a="1"/>
  <c r="O23" i="17" s="1"/>
  <c r="O24" i="17" a="1"/>
  <c r="O24" i="17"/>
  <c r="O26" i="17" a="1"/>
  <c r="O26" i="17"/>
  <c r="O29" i="17" a="1"/>
  <c r="O29" i="17" s="1"/>
  <c r="O30" i="17"/>
  <c r="O31" i="17" a="1"/>
  <c r="O31" i="17"/>
  <c r="O40" i="17" a="1"/>
  <c r="O40" i="17" s="1"/>
  <c r="O42" i="17" a="1"/>
  <c r="O42" i="17"/>
  <c r="O44" i="17" a="1"/>
  <c r="O44" i="17" s="1"/>
  <c r="O46" i="17" a="1"/>
  <c r="O46" i="17"/>
  <c r="O48" i="17"/>
  <c r="O52" i="17" a="1"/>
  <c r="O52" i="17" s="1"/>
  <c r="O53" i="17" a="1"/>
  <c r="O53" i="17" s="1"/>
  <c r="O54" i="17" a="1"/>
  <c r="O54" i="17" s="1"/>
  <c r="O58" i="17" a="1"/>
  <c r="O58" i="17" s="1"/>
  <c r="O70" i="17" a="1"/>
  <c r="O70" i="17"/>
  <c r="O72" i="17" a="1"/>
  <c r="O72" i="17"/>
  <c r="O73" i="17" a="1"/>
  <c r="O73" i="17" s="1"/>
  <c r="O75" i="17" a="1"/>
  <c r="O75" i="17" s="1"/>
  <c r="O78" i="17" a="1"/>
  <c r="O78" i="17" s="1"/>
  <c r="O79" i="17" a="1"/>
  <c r="O79" i="17" s="1"/>
  <c r="O82" i="17" a="1"/>
  <c r="O82" i="17" s="1"/>
  <c r="O83" i="17"/>
  <c r="O84" i="17" a="1"/>
  <c r="O84" i="17" s="1"/>
  <c r="O85" i="17" a="1"/>
  <c r="O85" i="17"/>
  <c r="O90" i="17" a="1"/>
  <c r="O90" i="17"/>
  <c r="O95" i="17"/>
  <c r="O96" i="17" a="1"/>
  <c r="O96" i="17" s="1"/>
  <c r="O101" i="17" a="1"/>
  <c r="O101" i="17" s="1"/>
  <c r="O102" i="17" a="1"/>
  <c r="O102" i="17" s="1"/>
  <c r="O106" i="17"/>
  <c r="O107" i="17"/>
  <c r="O109" i="17" a="1"/>
  <c r="O109" i="17" s="1"/>
  <c r="O110" i="17" a="1"/>
  <c r="O110" i="17"/>
  <c r="O112" i="17" a="1"/>
  <c r="O112" i="17" s="1"/>
  <c r="O118" i="17"/>
  <c r="O124" i="17" a="1"/>
  <c r="O124" i="17" s="1"/>
  <c r="O125" i="17" a="1"/>
  <c r="O125" i="17" s="1"/>
  <c r="O127" i="17" a="1"/>
  <c r="O127" i="17"/>
  <c r="O128" i="17" a="1"/>
  <c r="O128" i="17" s="1"/>
  <c r="O129" i="17"/>
  <c r="O130" i="17" a="1"/>
  <c r="O130" i="17"/>
  <c r="O131" i="17" a="1"/>
  <c r="O131" i="17"/>
  <c r="O132" i="17" a="1"/>
  <c r="O132" i="17" s="1"/>
  <c r="O134" i="17"/>
  <c r="O136" i="17" a="1"/>
  <c r="O136" i="17" s="1"/>
  <c r="O144" i="17" a="1"/>
  <c r="O144" i="17"/>
  <c r="O151" i="17" a="1"/>
  <c r="O151" i="17" s="1"/>
  <c r="O154" i="17"/>
  <c r="O156" i="17" a="1"/>
  <c r="O156" i="17"/>
  <c r="O157" i="17"/>
  <c r="O158" i="17" a="1"/>
  <c r="O158" i="17" s="1"/>
  <c r="O159" i="17" a="1"/>
  <c r="O159" i="17" s="1"/>
  <c r="O160" i="17" a="1"/>
  <c r="O160" i="17" s="1"/>
  <c r="O161" i="17" a="1"/>
  <c r="O161" i="17" s="1"/>
  <c r="O162" i="17" a="1"/>
  <c r="O162" i="17" s="1"/>
  <c r="O172" i="17" a="1"/>
  <c r="O172" i="17" s="1"/>
  <c r="O174" i="17" a="1"/>
  <c r="O174" i="17"/>
  <c r="O175" i="17"/>
  <c r="O178" i="17"/>
  <c r="O179" i="17"/>
  <c r="O182" i="17" a="1"/>
  <c r="O182" i="17"/>
  <c r="O183" i="17" a="1"/>
  <c r="O183" i="17" s="1"/>
  <c r="O184" i="17" a="1"/>
  <c r="O184" i="17" s="1"/>
  <c r="O186" i="17"/>
  <c r="O187" i="17" a="1"/>
  <c r="O187" i="17" s="1"/>
  <c r="O192" i="17"/>
  <c r="O198" i="17" a="1"/>
  <c r="O198" i="17"/>
  <c r="O200" i="17" a="1"/>
  <c r="O200" i="17" s="1"/>
  <c r="O201" i="17" a="1"/>
  <c r="O201" i="17" s="1"/>
  <c r="O202" i="17"/>
  <c r="O203" i="17" a="1"/>
  <c r="O203" i="17"/>
  <c r="O210" i="17"/>
  <c r="O211" i="17"/>
  <c r="O212" i="17" a="1"/>
  <c r="O212" i="17" s="1"/>
  <c r="O213" i="17"/>
  <c r="O214" i="17"/>
  <c r="O215" i="17" a="1"/>
  <c r="O215" i="17"/>
  <c r="O216" i="17" a="1"/>
  <c r="O216" i="17" s="1"/>
  <c r="O222" i="17" a="1"/>
  <c r="O222" i="17" s="1"/>
  <c r="O227" i="17" a="1"/>
  <c r="O227" i="17"/>
  <c r="O231" i="17" a="1"/>
  <c r="O231" i="17" s="1"/>
  <c r="O232" i="17" a="1"/>
  <c r="O232" i="17" s="1"/>
  <c r="O234" i="17"/>
  <c r="O239" i="17" a="1"/>
  <c r="O239" i="17" s="1"/>
  <c r="O240" i="17" a="1"/>
  <c r="O240" i="17"/>
  <c r="O241" i="17" a="1"/>
  <c r="O241" i="17" s="1"/>
  <c r="O250" i="17"/>
  <c r="O254" i="17" a="1"/>
  <c r="O254" i="17"/>
  <c r="O257" i="17" a="1"/>
  <c r="O257" i="17" s="1"/>
  <c r="O258" i="17" a="1"/>
  <c r="O258" i="17"/>
  <c r="O260" i="17" a="1"/>
  <c r="O260" i="17" s="1"/>
  <c r="O262" i="17" a="1"/>
  <c r="O262" i="17"/>
  <c r="O264" i="17"/>
  <c r="O265" i="17"/>
  <c r="O268" i="17" a="1"/>
  <c r="O268" i="17" s="1"/>
  <c r="O269" i="17" a="1"/>
  <c r="O269" i="17" s="1"/>
  <c r="O277" i="17" a="1"/>
  <c r="O277" i="17" s="1"/>
  <c r="O280" i="17" a="1"/>
  <c r="O280" i="17" s="1"/>
  <c r="O283" i="17"/>
  <c r="O287" i="17" a="1"/>
  <c r="O287" i="17"/>
  <c r="O288" i="17" a="1"/>
  <c r="O288" i="17" s="1"/>
  <c r="O289" i="17" a="1"/>
  <c r="O289" i="17"/>
  <c r="O290" i="17" a="1"/>
  <c r="O290" i="17"/>
  <c r="O303" i="17" a="1"/>
  <c r="O303" i="17" s="1"/>
  <c r="O304" i="17" a="1"/>
  <c r="O304" i="17" s="1"/>
  <c r="O306" i="17" a="1"/>
  <c r="O306" i="17"/>
  <c r="O307" i="17"/>
  <c r="O311" i="17" a="1"/>
  <c r="O311" i="17"/>
  <c r="O312" i="17" a="1"/>
  <c r="O312" i="17"/>
  <c r="O315" i="17" a="1"/>
  <c r="O315" i="17" s="1"/>
  <c r="O317" i="17" a="1"/>
  <c r="O317" i="17" s="1"/>
  <c r="O318" i="17" a="1"/>
  <c r="O318" i="17" s="1"/>
  <c r="O319" i="17" a="1"/>
  <c r="O319" i="17" s="1"/>
  <c r="O328" i="17" a="1"/>
  <c r="O328" i="17" s="1"/>
  <c r="O330" i="17"/>
  <c r="O336" i="17"/>
  <c r="O337" i="17"/>
  <c r="O339" i="17" a="1"/>
  <c r="O339" i="17" s="1"/>
  <c r="O340" i="17" a="1"/>
  <c r="O340" i="17" s="1"/>
  <c r="O342" i="17" a="1"/>
  <c r="O342" i="17"/>
  <c r="O343" i="17" a="1"/>
  <c r="O343" i="17"/>
  <c r="O354" i="17"/>
  <c r="O355" i="17" a="1"/>
  <c r="O355" i="17" s="1"/>
  <c r="O358" i="17" a="1"/>
  <c r="O358" i="17"/>
  <c r="O360" i="17" a="1"/>
  <c r="O360" i="17"/>
  <c r="O361" i="17" a="1"/>
  <c r="O361" i="17"/>
  <c r="O362" i="17" a="1"/>
  <c r="O362" i="17"/>
  <c r="O365" i="17" a="1"/>
  <c r="O365" i="17" s="1"/>
  <c r="O366" i="17" a="1"/>
  <c r="O366" i="17" s="1"/>
  <c r="O376" i="17" a="1"/>
  <c r="O376" i="17" s="1"/>
  <c r="O377" i="17" a="1"/>
  <c r="O377" i="17" s="1"/>
  <c r="O379" i="17" a="1"/>
  <c r="O379" i="17"/>
  <c r="O383" i="17" a="1"/>
  <c r="O383" i="17" s="1"/>
  <c r="O384" i="17"/>
  <c r="O385" i="17" a="1"/>
  <c r="O385" i="17" s="1"/>
  <c r="O386" i="17" a="1"/>
  <c r="O386" i="17"/>
  <c r="O387" i="17" a="1"/>
  <c r="O387" i="17" s="1"/>
  <c r="O388" i="17" a="1"/>
  <c r="O388" i="17" s="1"/>
  <c r="O389" i="17" a="1"/>
  <c r="O389" i="17" s="1"/>
  <c r="O390" i="17" a="1"/>
  <c r="O390" i="17" s="1"/>
  <c r="O402" i="17" a="1"/>
  <c r="O402" i="17" s="1"/>
  <c r="O403" i="17" a="1"/>
  <c r="O403" i="17" s="1"/>
  <c r="O405" i="17" a="1"/>
  <c r="O405" i="17"/>
  <c r="O406" i="17"/>
  <c r="O407" i="17" a="1"/>
  <c r="O407" i="17"/>
  <c r="O408" i="17" a="1"/>
  <c r="O408" i="17" s="1"/>
  <c r="O409" i="17"/>
  <c r="O412" i="17" a="1"/>
  <c r="O412" i="17" s="1"/>
  <c r="O413" i="17" a="1"/>
  <c r="O413" i="17" s="1"/>
  <c r="O424" i="17" a="1"/>
  <c r="O424" i="17" s="1"/>
  <c r="O427" i="17" a="1"/>
  <c r="O427" i="17"/>
  <c r="O428" i="17" a="1"/>
  <c r="O428" i="17" s="1"/>
  <c r="O430" i="17" a="1"/>
  <c r="O430" i="17" s="1"/>
  <c r="O431" i="17"/>
  <c r="O432" i="17" a="1"/>
  <c r="O432" i="17" s="1"/>
  <c r="O433" i="17" a="1"/>
  <c r="O433" i="17" s="1"/>
  <c r="O435" i="17" a="1"/>
  <c r="O435" i="17" s="1"/>
  <c r="O436" i="17" a="1"/>
  <c r="O436" i="17" s="1"/>
  <c r="O437" i="17" a="1"/>
  <c r="O437" i="17" s="1"/>
  <c r="O438" i="17" a="1"/>
  <c r="O438" i="17" s="1"/>
  <c r="O447" i="17" a="1"/>
  <c r="O447" i="17" s="1"/>
  <c r="O450" i="17"/>
  <c r="O451" i="17"/>
  <c r="O452" i="17" a="1"/>
  <c r="O452" i="17" s="1"/>
  <c r="O456" i="17" a="1"/>
  <c r="O456" i="17"/>
  <c r="O457" i="17" a="1"/>
  <c r="O457" i="17" s="1"/>
  <c r="O460" i="17" a="1"/>
  <c r="O460" i="17" s="1"/>
  <c r="O461" i="17" a="1"/>
  <c r="O461" i="17" s="1"/>
  <c r="O472" i="17" a="1"/>
  <c r="O472" i="17" s="1"/>
  <c r="O475" i="17" a="1"/>
  <c r="O475" i="17"/>
  <c r="O476" i="17" a="1"/>
  <c r="O476" i="17" s="1"/>
  <c r="O478" i="17" a="1"/>
  <c r="O478" i="17"/>
  <c r="O480" i="17" a="1"/>
  <c r="O480" i="17"/>
  <c r="O483" i="17" a="1"/>
  <c r="O483" i="17" s="1"/>
  <c r="O484" i="17" a="1"/>
  <c r="O484" i="17" s="1"/>
  <c r="O486" i="17" a="1"/>
  <c r="O486" i="17"/>
  <c r="O494" i="17" a="1"/>
  <c r="O494" i="17" s="1"/>
  <c r="O500" i="17" a="1"/>
  <c r="O500" i="17" s="1"/>
  <c r="O501" i="17" a="1"/>
  <c r="O501" i="17" s="1"/>
  <c r="O502" i="17" a="1"/>
  <c r="O502" i="17" s="1"/>
  <c r="O503" i="17" a="1"/>
  <c r="O503" i="17" s="1"/>
  <c r="O504" i="17" a="1"/>
  <c r="O504" i="17" s="1"/>
  <c r="O505" i="17" a="1"/>
  <c r="O505" i="17"/>
  <c r="O519" i="17" a="1"/>
  <c r="O519" i="17" s="1"/>
  <c r="O520" i="17" a="1"/>
  <c r="O520" i="17" s="1"/>
  <c r="O522" i="17" a="1"/>
  <c r="O522" i="17"/>
  <c r="O523" i="17" a="1"/>
  <c r="O523" i="17" s="1"/>
  <c r="O524" i="17" a="1"/>
  <c r="O524" i="17" s="1"/>
  <c r="O525" i="17"/>
  <c r="O527" i="17" a="1"/>
  <c r="O527" i="17"/>
  <c r="O528" i="17"/>
  <c r="O530" i="17" a="1"/>
  <c r="O530" i="17"/>
  <c r="O532" i="17" a="1"/>
  <c r="O532" i="17" s="1"/>
  <c r="O542" i="17" a="1"/>
  <c r="O542" i="17"/>
  <c r="O544" i="17" a="1"/>
  <c r="O544" i="17" s="1"/>
  <c r="O545" i="17" a="1"/>
  <c r="O545" i="17" s="1"/>
  <c r="O547" i="17" a="1"/>
  <c r="O547" i="17" s="1"/>
  <c r="O550" i="17"/>
  <c r="O551" i="17" a="1"/>
  <c r="O551" i="17"/>
  <c r="O553" i="17"/>
  <c r="O556" i="17" a="1"/>
  <c r="O556" i="17" s="1"/>
  <c r="O557" i="17" a="1"/>
  <c r="O557" i="17" s="1"/>
  <c r="O565" i="17" a="1"/>
  <c r="O565" i="17" s="1"/>
  <c r="O566" i="17" a="1"/>
  <c r="O566" i="17" s="1"/>
  <c r="O570" i="17"/>
  <c r="O571" i="17" a="1"/>
  <c r="O571" i="17"/>
  <c r="O574" i="17" a="1"/>
  <c r="O574" i="17"/>
  <c r="O575" i="17" a="1"/>
  <c r="O575" i="17"/>
  <c r="O576" i="17"/>
  <c r="O577" i="17" a="1"/>
  <c r="O577" i="17" s="1"/>
  <c r="O578" i="17"/>
  <c r="O579" i="17" a="1"/>
  <c r="O579" i="17" s="1"/>
  <c r="O589" i="17" a="1"/>
  <c r="O589" i="17"/>
  <c r="O592" i="17" a="1"/>
  <c r="O592" i="17" s="1"/>
  <c r="O593" i="17" a="1"/>
  <c r="O593" i="17" s="1"/>
  <c r="O594" i="17" a="1"/>
  <c r="O594" i="17" s="1"/>
  <c r="O598" i="17"/>
  <c r="O599" i="17" a="1"/>
  <c r="O599" i="17" s="1"/>
  <c r="O600" i="17" a="1"/>
  <c r="O600" i="17"/>
  <c r="O601" i="17" a="1"/>
  <c r="O601" i="17"/>
  <c r="O602" i="17" a="1"/>
  <c r="O602" i="17"/>
  <c r="O613" i="17"/>
  <c r="O614" i="17" a="1"/>
  <c r="O614" i="17" s="1"/>
  <c r="O616" i="17" a="1"/>
  <c r="O616" i="17" s="1"/>
  <c r="O617" i="17" a="1"/>
  <c r="O617" i="17" s="1"/>
  <c r="O618" i="17" a="1"/>
  <c r="O618" i="17" s="1"/>
  <c r="O619" i="17" a="1"/>
  <c r="O619" i="17"/>
  <c r="O620" i="17" a="1"/>
  <c r="O620" i="17" s="1"/>
  <c r="O621" i="17" a="1"/>
  <c r="O621" i="17"/>
  <c r="O622" i="17" a="1"/>
  <c r="O622" i="17"/>
  <c r="O623" i="17" a="1"/>
  <c r="O623" i="17" s="1"/>
  <c r="O635" i="17" a="1"/>
  <c r="O635" i="17" s="1"/>
  <c r="O636" i="17" a="1"/>
  <c r="O636" i="17" s="1"/>
  <c r="O637" i="17" a="1"/>
  <c r="O637" i="17" s="1"/>
  <c r="O640" i="17" a="1"/>
  <c r="O640" i="17" s="1"/>
  <c r="O642" i="17" a="1"/>
  <c r="O642" i="17" s="1"/>
  <c r="O643" i="17"/>
  <c r="O644" i="17" a="1"/>
  <c r="O644" i="17" s="1"/>
  <c r="O646" i="17" a="1"/>
  <c r="O646" i="17" s="1"/>
  <c r="O647" i="17" a="1"/>
  <c r="O647" i="17" s="1"/>
  <c r="O655" i="17" a="1"/>
  <c r="O655" i="17" s="1"/>
  <c r="O656" i="17" a="1"/>
  <c r="O656" i="17" s="1"/>
  <c r="O657" i="17"/>
  <c r="O659" i="17" a="1"/>
  <c r="O659" i="17"/>
  <c r="O661" i="17" a="1"/>
  <c r="O661" i="17" s="1"/>
  <c r="O662" i="17" a="1"/>
  <c r="O662" i="17"/>
  <c r="O664" i="17" a="1"/>
  <c r="O664" i="17" s="1"/>
  <c r="O665" i="17" a="1"/>
  <c r="O665" i="17" s="1"/>
  <c r="O666" i="17" a="1"/>
  <c r="O666" i="17" s="1"/>
  <c r="O677" i="17" a="1"/>
  <c r="O677" i="17" s="1"/>
  <c r="O678" i="17"/>
  <c r="O682" i="17"/>
  <c r="O683" i="17"/>
  <c r="O684" i="17"/>
  <c r="O685" i="17" a="1"/>
  <c r="O685" i="17" s="1"/>
  <c r="O686" i="17"/>
  <c r="O687" i="17" a="1"/>
  <c r="O687" i="17" s="1"/>
  <c r="O688" i="17" a="1"/>
  <c r="O688" i="17" s="1"/>
  <c r="O690" i="17"/>
  <c r="O697" i="17"/>
  <c r="O698" i="17"/>
  <c r="O700" i="17" a="1"/>
  <c r="O700" i="17" s="1"/>
  <c r="O702" i="17" a="1"/>
  <c r="O702" i="17"/>
  <c r="O706" i="17"/>
  <c r="O707" i="17"/>
  <c r="O708" i="17" a="1"/>
  <c r="O708" i="17" s="1"/>
  <c r="O709" i="17" a="1"/>
  <c r="O709" i="17"/>
  <c r="O719" i="17"/>
  <c r="O722" i="17"/>
  <c r="O726" i="17" a="1"/>
  <c r="O726" i="17" s="1"/>
  <c r="O728" i="17" a="1"/>
  <c r="O728" i="17" s="1"/>
  <c r="O729" i="17" a="1"/>
  <c r="O729" i="17"/>
  <c r="O730" i="17" a="1"/>
  <c r="O730" i="17"/>
  <c r="O731" i="17" a="1"/>
  <c r="O731" i="17"/>
  <c r="O732" i="17" a="1"/>
  <c r="O732" i="17" s="1"/>
  <c r="O742" i="17"/>
  <c r="O743" i="17" a="1"/>
  <c r="O743" i="17" s="1"/>
  <c r="O745" i="17" a="1"/>
  <c r="O745" i="17"/>
  <c r="O746" i="17" a="1"/>
  <c r="O746" i="17" s="1"/>
  <c r="O747" i="17" a="1"/>
  <c r="O747" i="17" s="1"/>
  <c r="O748" i="17" a="1"/>
  <c r="O748" i="17" s="1"/>
  <c r="O749" i="17" a="1"/>
  <c r="O749" i="17" s="1"/>
  <c r="O750" i="17" a="1"/>
  <c r="O750" i="17" s="1"/>
  <c r="O751" i="17" a="1"/>
  <c r="O751" i="17" s="1"/>
  <c r="O764" i="17" a="1"/>
  <c r="O764" i="17" s="1"/>
  <c r="O765" i="17"/>
  <c r="O766" i="17" a="1"/>
  <c r="O766" i="17"/>
  <c r="O770" i="17"/>
  <c r="O771" i="17" a="1"/>
  <c r="O771" i="17" s="1"/>
  <c r="O773" i="17" a="1"/>
  <c r="O773" i="17" s="1"/>
  <c r="O774" i="17" a="1"/>
  <c r="O774" i="17"/>
  <c r="O775" i="17" a="1"/>
  <c r="O775" i="17"/>
  <c r="O786" i="17" a="1"/>
  <c r="O786" i="17" s="1"/>
  <c r="O787" i="17" a="1"/>
  <c r="O787" i="17" s="1"/>
  <c r="O789" i="17" a="1"/>
  <c r="O789" i="17"/>
  <c r="O790" i="17" a="1"/>
  <c r="O790" i="17" s="1"/>
  <c r="O791" i="17" a="1"/>
  <c r="O791" i="17"/>
  <c r="O792" i="17" a="1"/>
  <c r="O792" i="17" s="1"/>
  <c r="O793" i="17" a="1"/>
  <c r="O793" i="17" s="1"/>
  <c r="O794" i="17"/>
  <c r="O795" i="17" a="1"/>
  <c r="O795" i="17" s="1"/>
  <c r="O806" i="17" a="1"/>
  <c r="O806" i="17"/>
  <c r="O808" i="17" a="1"/>
  <c r="O808" i="17" s="1"/>
  <c r="O809" i="17" a="1"/>
  <c r="O809" i="17" s="1"/>
  <c r="O810" i="17" a="1"/>
  <c r="O810" i="17" s="1"/>
  <c r="O811" i="17" a="1"/>
  <c r="O811" i="17"/>
  <c r="O812" i="17" a="1"/>
  <c r="O812" i="17" s="1"/>
  <c r="O814" i="17"/>
  <c r="O816" i="17" a="1"/>
  <c r="O816" i="17"/>
  <c r="O817" i="17"/>
  <c r="O820" i="17" a="1"/>
  <c r="O820" i="17" s="1"/>
  <c r="O826" i="17"/>
  <c r="O827" i="17"/>
  <c r="O829" i="17" a="1"/>
  <c r="O829" i="17" s="1"/>
  <c r="O834" i="17"/>
  <c r="O835" i="17"/>
  <c r="O838" i="17"/>
  <c r="O839" i="17" a="1"/>
  <c r="O839" i="17"/>
  <c r="O840" i="17" a="1"/>
  <c r="O840" i="17" s="1"/>
  <c r="O849" i="17"/>
  <c r="O850" i="17" a="1"/>
  <c r="O850" i="17" s="1"/>
  <c r="O852" i="17"/>
  <c r="O853" i="17" a="1"/>
  <c r="O853" i="17" s="1"/>
  <c r="O854" i="17" a="1"/>
  <c r="O854" i="17" s="1"/>
  <c r="O858" i="17" a="1"/>
  <c r="O858" i="17"/>
  <c r="O859" i="17" a="1"/>
  <c r="O859" i="17"/>
  <c r="O860" i="17" a="1"/>
  <c r="O860" i="17" s="1"/>
  <c r="O861" i="17" a="1"/>
  <c r="O861" i="17"/>
  <c r="O870" i="17" a="1"/>
  <c r="O870" i="17" s="1"/>
  <c r="O874" i="17" a="1"/>
  <c r="O874" i="17" s="1"/>
  <c r="O875" i="17"/>
  <c r="O880" i="17" a="1"/>
  <c r="O880" i="17" s="1"/>
  <c r="O881" i="17" a="1"/>
  <c r="O881" i="17" s="1"/>
  <c r="O882" i="17"/>
  <c r="O883" i="17" a="1"/>
  <c r="O883" i="17"/>
  <c r="O890" i="17"/>
  <c r="O891" i="17" a="1"/>
  <c r="O891" i="17" s="1"/>
  <c r="O896" i="17" a="1"/>
  <c r="O896" i="17" s="1"/>
  <c r="O897" i="17" a="1"/>
  <c r="O897" i="17"/>
  <c r="O898" i="17"/>
  <c r="O899" i="17"/>
  <c r="O900" i="17"/>
  <c r="O901" i="17" a="1"/>
  <c r="O901" i="17"/>
  <c r="O902" i="17" a="1"/>
  <c r="O902" i="17"/>
  <c r="O913" i="17"/>
  <c r="O916" i="17" a="1"/>
  <c r="O916" i="17" s="1"/>
  <c r="O917" i="17" a="1"/>
  <c r="O917" i="17" s="1"/>
  <c r="O918" i="17" a="1"/>
  <c r="O918" i="17" s="1"/>
  <c r="O919" i="17" a="1"/>
  <c r="O919" i="17"/>
  <c r="O920" i="17" a="1"/>
  <c r="O920" i="17" s="1"/>
  <c r="O921" i="17" a="1"/>
  <c r="O921" i="17"/>
  <c r="O922" i="17" a="1"/>
  <c r="O922" i="17"/>
  <c r="O923" i="17" a="1"/>
  <c r="O923" i="17" s="1"/>
  <c r="O934" i="17" a="1"/>
  <c r="O934" i="17"/>
  <c r="O935" i="17"/>
  <c r="O936" i="17" a="1"/>
  <c r="O936" i="17"/>
  <c r="O938" i="17" a="1"/>
  <c r="O938" i="17"/>
  <c r="O941" i="17" a="1"/>
  <c r="O941" i="17" s="1"/>
  <c r="O942" i="17" a="1"/>
  <c r="O942" i="17" s="1"/>
  <c r="O946" i="17" a="1"/>
  <c r="O946" i="17" s="1"/>
  <c r="O953" i="17" a="1"/>
  <c r="O953" i="17" s="1"/>
  <c r="O954" i="17" a="1"/>
  <c r="O954" i="17" s="1"/>
  <c r="O955" i="17" a="1"/>
  <c r="O955" i="17" s="1"/>
  <c r="O958" i="17"/>
  <c r="O960" i="17" a="1"/>
  <c r="O960" i="17"/>
  <c r="O961" i="17" a="1"/>
  <c r="O961" i="17" s="1"/>
  <c r="O962" i="17" a="1"/>
  <c r="O962" i="17"/>
  <c r="O963" i="17" a="1"/>
  <c r="O963" i="17" s="1"/>
  <c r="O964" i="17" a="1"/>
  <c r="O964" i="17" s="1"/>
  <c r="O966" i="17"/>
  <c r="O974" i="17"/>
  <c r="O975" i="17" a="1"/>
  <c r="O975" i="17" s="1"/>
  <c r="O977" i="17" a="1"/>
  <c r="O977" i="17" s="1"/>
  <c r="O978" i="17" a="1"/>
  <c r="O978" i="17"/>
  <c r="O980" i="17" a="1"/>
  <c r="O980" i="17" s="1"/>
  <c r="O981" i="17" a="1"/>
  <c r="O981" i="17"/>
  <c r="O982" i="17" a="1"/>
  <c r="O982" i="17" s="1"/>
  <c r="O983" i="17"/>
  <c r="O984" i="17" a="1"/>
  <c r="O984" i="17" s="1"/>
  <c r="O985" i="17"/>
  <c r="O995" i="17" a="1"/>
  <c r="O995" i="17" s="1"/>
  <c r="O996" i="17" a="1"/>
  <c r="O996" i="17" s="1"/>
  <c r="O997" i="17" a="1"/>
  <c r="O997" i="17"/>
  <c r="O998" i="17"/>
  <c r="O2" i="17"/>
  <c r="M6" i="17"/>
  <c r="M7" i="17"/>
  <c r="M9" i="17"/>
  <c r="M10" i="17"/>
  <c r="M11" i="17"/>
  <c r="M21" i="17"/>
  <c r="M25" i="17"/>
  <c r="M27" i="17"/>
  <c r="M28" i="17"/>
  <c r="M33" i="17"/>
  <c r="M36" i="17"/>
  <c r="M38" i="17"/>
  <c r="M39" i="17"/>
  <c r="M40" i="17"/>
  <c r="M43" i="17"/>
  <c r="M58" i="17"/>
  <c r="M64" i="17"/>
  <c r="M68" i="17"/>
  <c r="M69" i="17"/>
  <c r="M73" i="17"/>
  <c r="M74" i="17"/>
  <c r="M75" i="17"/>
  <c r="M76" i="17"/>
  <c r="M77" i="17"/>
  <c r="M93" i="17"/>
  <c r="M95" i="17"/>
  <c r="M98" i="17"/>
  <c r="M99" i="17"/>
  <c r="M100" i="17"/>
  <c r="M105" i="17"/>
  <c r="M106" i="17"/>
  <c r="M110" i="17"/>
  <c r="M111" i="17"/>
  <c r="M127" i="17"/>
  <c r="M128" i="17"/>
  <c r="M130" i="17"/>
  <c r="M136" i="17"/>
  <c r="M139" i="17"/>
  <c r="M140" i="17"/>
  <c r="M141" i="17"/>
  <c r="M143" i="17"/>
  <c r="M146" i="17"/>
  <c r="M147" i="17"/>
  <c r="M159" i="17"/>
  <c r="M162" i="17"/>
  <c r="M165" i="17"/>
  <c r="M171" i="17"/>
  <c r="M172" i="17"/>
  <c r="M175" i="17"/>
  <c r="M176" i="17"/>
  <c r="M177" i="17"/>
  <c r="M178" i="17"/>
  <c r="M181" i="17"/>
  <c r="M196" i="17"/>
  <c r="M199" i="17"/>
  <c r="M200" i="17"/>
  <c r="M201" i="17"/>
  <c r="M205" i="17"/>
  <c r="M206" i="17"/>
  <c r="M207" i="17"/>
  <c r="M211" i="17"/>
  <c r="M215" i="17"/>
  <c r="M217" i="17"/>
  <c r="M232" i="17"/>
  <c r="M242" i="17"/>
  <c r="M243" i="17"/>
  <c r="M244" i="17"/>
  <c r="M247" i="17"/>
  <c r="M259" i="17"/>
  <c r="M261" i="17"/>
  <c r="M268" i="17"/>
  <c r="M271" i="17"/>
  <c r="M272" i="17"/>
  <c r="M273" i="17"/>
  <c r="M274" i="17"/>
  <c r="M275" i="17"/>
  <c r="M277" i="17"/>
  <c r="M291" i="17"/>
  <c r="M297" i="17"/>
  <c r="M298" i="17"/>
  <c r="M301" i="17"/>
  <c r="M302" i="17"/>
  <c r="M303" i="17"/>
  <c r="M304" i="17"/>
  <c r="M307" i="17"/>
  <c r="M326" i="17"/>
  <c r="M327" i="17"/>
  <c r="M328" i="17"/>
  <c r="M331" i="17"/>
  <c r="M332" i="17"/>
  <c r="M333" i="17"/>
  <c r="M337" i="17"/>
  <c r="M339" i="17"/>
  <c r="M356" i="17"/>
  <c r="M357" i="17"/>
  <c r="M362" i="17"/>
  <c r="M363" i="17"/>
  <c r="M364" i="17"/>
  <c r="M367" i="17"/>
  <c r="M369" i="17"/>
  <c r="M370" i="17"/>
  <c r="M383" i="17"/>
  <c r="M386" i="17"/>
  <c r="M387" i="17"/>
  <c r="M388" i="17"/>
  <c r="M390" i="17"/>
  <c r="M391" i="17"/>
  <c r="M394" i="17"/>
  <c r="M411" i="17"/>
  <c r="M412" i="17"/>
  <c r="M415" i="17"/>
  <c r="M416" i="17"/>
  <c r="M421" i="17"/>
  <c r="M422" i="17"/>
  <c r="M423" i="17"/>
  <c r="M427" i="17"/>
  <c r="M428" i="17"/>
  <c r="M429" i="17"/>
  <c r="M439" i="17"/>
  <c r="M440" i="17"/>
  <c r="M442" i="17"/>
  <c r="M445" i="17"/>
  <c r="M446" i="17"/>
  <c r="M448" i="17"/>
  <c r="M453" i="17"/>
  <c r="M454" i="17"/>
  <c r="M466" i="17"/>
  <c r="M471" i="17"/>
  <c r="M472" i="17"/>
  <c r="M476" i="17"/>
  <c r="M477" i="17"/>
  <c r="M478" i="17"/>
  <c r="M481" i="17"/>
  <c r="M482" i="17"/>
  <c r="M483" i="17"/>
  <c r="M495" i="17"/>
  <c r="M496" i="17"/>
  <c r="M498" i="17"/>
  <c r="M501" i="17"/>
  <c r="M507" i="17"/>
  <c r="M508" i="17"/>
  <c r="M523" i="17"/>
  <c r="M526" i="17"/>
  <c r="M530" i="17"/>
  <c r="M531" i="17"/>
  <c r="M532" i="17"/>
  <c r="M533" i="17"/>
  <c r="M535" i="17"/>
  <c r="M536" i="17"/>
  <c r="M537" i="17"/>
  <c r="M549" i="17"/>
  <c r="M550" i="17"/>
  <c r="M556" i="17"/>
  <c r="M559" i="17"/>
  <c r="M560" i="17"/>
  <c r="M561" i="17"/>
  <c r="M562" i="17"/>
  <c r="M578" i="17"/>
  <c r="M579" i="17"/>
  <c r="M580" i="17"/>
  <c r="M583" i="17"/>
  <c r="M584" i="17"/>
  <c r="M585" i="17"/>
  <c r="M586" i="17"/>
  <c r="M588" i="17"/>
  <c r="M589" i="17"/>
  <c r="M604" i="17"/>
  <c r="M608" i="17"/>
  <c r="M609" i="17"/>
  <c r="M610" i="17"/>
  <c r="M613" i="17"/>
  <c r="M614" i="17"/>
  <c r="M615" i="17"/>
  <c r="M616" i="17"/>
  <c r="M627" i="17"/>
  <c r="M628" i="17"/>
  <c r="M631" i="17"/>
  <c r="M632" i="17"/>
  <c r="M634" i="17"/>
  <c r="M635" i="17"/>
  <c r="M636" i="17"/>
  <c r="M637" i="17"/>
  <c r="M638" i="17"/>
  <c r="M639" i="17"/>
  <c r="M640" i="17"/>
  <c r="M652" i="17"/>
  <c r="M656" i="17"/>
  <c r="M657" i="17"/>
  <c r="M661" i="17"/>
  <c r="M662" i="17"/>
  <c r="M663" i="17"/>
  <c r="M664" i="17"/>
  <c r="M680" i="17"/>
  <c r="M681" i="17"/>
  <c r="M682" i="17"/>
  <c r="M684" i="17"/>
  <c r="M685" i="17"/>
  <c r="M686" i="17"/>
  <c r="M687" i="17"/>
  <c r="M688" i="17"/>
  <c r="M703" i="17"/>
  <c r="M705" i="17"/>
  <c r="M706" i="17"/>
  <c r="M709" i="17"/>
  <c r="M710" i="17"/>
  <c r="M711" i="17"/>
  <c r="M712" i="17"/>
  <c r="M716" i="17"/>
  <c r="M717" i="17"/>
  <c r="M727" i="17"/>
  <c r="M728" i="17"/>
  <c r="M730" i="17"/>
  <c r="M731" i="17"/>
  <c r="M732" i="17"/>
  <c r="M734" i="17"/>
  <c r="M735" i="17"/>
  <c r="M736" i="17"/>
  <c r="M741" i="17"/>
  <c r="M742" i="17"/>
  <c r="M752" i="17"/>
  <c r="M753" i="17"/>
  <c r="M757" i="17"/>
  <c r="M759" i="17"/>
  <c r="M760" i="17"/>
  <c r="M764" i="17"/>
  <c r="M765" i="17"/>
  <c r="M766" i="17"/>
  <c r="M767" i="17"/>
  <c r="M777" i="17"/>
  <c r="M778" i="17"/>
  <c r="M780" i="17"/>
  <c r="M781" i="17"/>
  <c r="M784" i="17"/>
  <c r="M789" i="17"/>
  <c r="M790" i="17"/>
  <c r="M802" i="17"/>
  <c r="M805" i="17"/>
  <c r="M806" i="17"/>
  <c r="M807" i="17"/>
  <c r="M812" i="17"/>
  <c r="M813" i="17"/>
  <c r="M814" i="17"/>
  <c r="M815" i="17"/>
  <c r="M817" i="17"/>
  <c r="M827" i="17"/>
  <c r="M828" i="17"/>
  <c r="M831" i="17"/>
  <c r="M832" i="17"/>
  <c r="M837" i="17"/>
  <c r="M838" i="17"/>
  <c r="M841" i="17"/>
  <c r="M842" i="17"/>
  <c r="M853" i="17"/>
  <c r="M855" i="17"/>
  <c r="M856" i="17"/>
  <c r="M860" i="17"/>
  <c r="M861" i="17"/>
  <c r="M862" i="17"/>
  <c r="M863" i="17"/>
  <c r="M865" i="17"/>
  <c r="M866" i="17"/>
  <c r="M867" i="17"/>
  <c r="M880" i="17"/>
  <c r="M885" i="17"/>
  <c r="M886" i="17"/>
  <c r="M889" i="17"/>
  <c r="M890" i="17"/>
  <c r="M891" i="17"/>
  <c r="M892" i="17"/>
  <c r="M902" i="17"/>
  <c r="M903" i="17"/>
  <c r="M907" i="17"/>
  <c r="M909" i="17"/>
  <c r="M910" i="17"/>
  <c r="M911" i="17"/>
  <c r="M912" i="17"/>
  <c r="M913" i="17"/>
  <c r="M914" i="17"/>
  <c r="M915" i="17"/>
  <c r="M916" i="17"/>
  <c r="M927" i="17"/>
  <c r="M931" i="17"/>
  <c r="M933" i="17"/>
  <c r="M934" i="17"/>
  <c r="M937" i="17"/>
  <c r="M938" i="17"/>
  <c r="M939" i="17"/>
  <c r="M940" i="17"/>
  <c r="M950" i="17"/>
  <c r="M951" i="17"/>
  <c r="M953" i="17"/>
  <c r="M955" i="17"/>
  <c r="M957" i="17"/>
  <c r="M958" i="17"/>
  <c r="M959" i="17"/>
  <c r="M960" i="17"/>
  <c r="M963" i="17"/>
  <c r="M964" i="17"/>
  <c r="M975" i="17"/>
  <c r="M979" i="17"/>
  <c r="M981" i="17"/>
  <c r="M982" i="17"/>
  <c r="M985" i="17"/>
  <c r="M986" i="17"/>
  <c r="M987" i="17"/>
  <c r="M988" i="17"/>
  <c r="M998" i="17"/>
  <c r="M999" i="17"/>
  <c r="M1001" i="17"/>
  <c r="M2" i="17"/>
  <c r="I7" i="17"/>
  <c r="J7" i="17"/>
  <c r="O7" i="17" s="1" a="1"/>
  <c r="O7" i="17" s="1"/>
  <c r="K7" i="17"/>
  <c r="L7" i="17"/>
  <c r="I8" i="17"/>
  <c r="J8" i="17"/>
  <c r="O8" i="17" s="1" a="1"/>
  <c r="O8" i="17" s="1"/>
  <c r="K8" i="17"/>
  <c r="L8" i="17"/>
  <c r="M8" i="17" s="1"/>
  <c r="I9" i="17"/>
  <c r="J9" i="17"/>
  <c r="O9" i="17" s="1" a="1"/>
  <c r="O9" i="17" s="1"/>
  <c r="K9" i="17"/>
  <c r="L9" i="17"/>
  <c r="I10" i="17"/>
  <c r="J10" i="17"/>
  <c r="K10" i="17"/>
  <c r="L10" i="17"/>
  <c r="I11" i="17"/>
  <c r="J11" i="17"/>
  <c r="O11" i="17" s="1" a="1"/>
  <c r="O11" i="17" s="1"/>
  <c r="K11" i="17"/>
  <c r="L11" i="17"/>
  <c r="I12" i="17"/>
  <c r="J12" i="17"/>
  <c r="O12" i="17" s="1" a="1"/>
  <c r="O12" i="17" s="1"/>
  <c r="K12" i="17"/>
  <c r="L12" i="17"/>
  <c r="M12" i="17" s="1"/>
  <c r="I13" i="17"/>
  <c r="J13" i="17"/>
  <c r="O13" i="17" s="1" a="1"/>
  <c r="O13" i="17" s="1"/>
  <c r="K13" i="17"/>
  <c r="L13" i="17"/>
  <c r="M13" i="17" s="1"/>
  <c r="I14" i="17"/>
  <c r="J14" i="17"/>
  <c r="O14" i="17" s="1" a="1"/>
  <c r="O14" i="17" s="1"/>
  <c r="K14" i="17"/>
  <c r="L14" i="17"/>
  <c r="M14" i="17" s="1"/>
  <c r="I15" i="17"/>
  <c r="J15" i="17"/>
  <c r="O15" i="17" s="1" a="1"/>
  <c r="O15" i="17" s="1"/>
  <c r="K15" i="17"/>
  <c r="L15" i="17"/>
  <c r="M15" i="17" s="1"/>
  <c r="I16" i="17"/>
  <c r="J16" i="17"/>
  <c r="K16" i="17"/>
  <c r="L16" i="17"/>
  <c r="M16" i="17" s="1"/>
  <c r="I17" i="17"/>
  <c r="J17" i="17"/>
  <c r="K17" i="17"/>
  <c r="L17" i="17"/>
  <c r="M17" i="17" s="1"/>
  <c r="I18" i="17"/>
  <c r="J18" i="17"/>
  <c r="K18" i="17"/>
  <c r="L18" i="17"/>
  <c r="M18" i="17" s="1"/>
  <c r="I19" i="17"/>
  <c r="J19" i="17"/>
  <c r="O19" i="17" s="1" a="1"/>
  <c r="O19" i="17" s="1"/>
  <c r="K19" i="17"/>
  <c r="L19" i="17"/>
  <c r="M19" i="17" s="1"/>
  <c r="I20" i="17"/>
  <c r="J20" i="17"/>
  <c r="O20" i="17" s="1" a="1"/>
  <c r="O20" i="17" s="1"/>
  <c r="K20" i="17"/>
  <c r="L20" i="17"/>
  <c r="M20" i="17" s="1"/>
  <c r="I21" i="17"/>
  <c r="J21" i="17"/>
  <c r="O21" i="17" s="1" a="1"/>
  <c r="O21" i="17" s="1"/>
  <c r="K21" i="17"/>
  <c r="L21" i="17"/>
  <c r="I22" i="17"/>
  <c r="J22" i="17"/>
  <c r="O22" i="17" s="1" a="1"/>
  <c r="O22" i="17" s="1"/>
  <c r="K22" i="17"/>
  <c r="L22" i="17"/>
  <c r="M22" i="17" s="1"/>
  <c r="I23" i="17"/>
  <c r="J23" i="17"/>
  <c r="K23" i="17"/>
  <c r="L23" i="17"/>
  <c r="M23" i="17" s="1"/>
  <c r="I24" i="17"/>
  <c r="J24" i="17"/>
  <c r="K24" i="17"/>
  <c r="L24" i="17"/>
  <c r="M24" i="17" s="1"/>
  <c r="I25" i="17"/>
  <c r="J25" i="17"/>
  <c r="O25" i="17" s="1" a="1"/>
  <c r="O25" i="17" s="1"/>
  <c r="K25" i="17"/>
  <c r="L25" i="17"/>
  <c r="I26" i="17"/>
  <c r="J26" i="17"/>
  <c r="K26" i="17"/>
  <c r="L26" i="17"/>
  <c r="M26" i="17" s="1"/>
  <c r="I27" i="17"/>
  <c r="J27" i="17"/>
  <c r="O27" i="17" s="1" a="1"/>
  <c r="O27" i="17" s="1"/>
  <c r="K27" i="17"/>
  <c r="L27" i="17"/>
  <c r="I28" i="17"/>
  <c r="J28" i="17"/>
  <c r="O28" i="17" s="1" a="1"/>
  <c r="O28" i="17" s="1"/>
  <c r="K28" i="17"/>
  <c r="L28" i="17"/>
  <c r="I29" i="17"/>
  <c r="J29" i="17"/>
  <c r="K29" i="17"/>
  <c r="L29" i="17"/>
  <c r="M29" i="17" s="1"/>
  <c r="I30" i="17"/>
  <c r="J30" i="17"/>
  <c r="O30" i="17" s="1" a="1"/>
  <c r="K30" i="17"/>
  <c r="L30" i="17"/>
  <c r="M30" i="17" s="1"/>
  <c r="I31" i="17"/>
  <c r="J31" i="17"/>
  <c r="K31" i="17"/>
  <c r="L31" i="17"/>
  <c r="M31" i="17" s="1"/>
  <c r="I32" i="17"/>
  <c r="J32" i="17"/>
  <c r="O32" i="17" s="1" a="1"/>
  <c r="O32" i="17" s="1"/>
  <c r="K32" i="17"/>
  <c r="L32" i="17"/>
  <c r="M32" i="17" s="1"/>
  <c r="I33" i="17"/>
  <c r="J33" i="17"/>
  <c r="O33" i="17" s="1" a="1"/>
  <c r="O33" i="17" s="1"/>
  <c r="K33" i="17"/>
  <c r="L33" i="17"/>
  <c r="I34" i="17"/>
  <c r="J34" i="17"/>
  <c r="O34" i="17" s="1" a="1"/>
  <c r="O34" i="17" s="1"/>
  <c r="K34" i="17"/>
  <c r="L34" i="17"/>
  <c r="M34" i="17" s="1"/>
  <c r="I35" i="17"/>
  <c r="J35" i="17"/>
  <c r="O35" i="17" s="1" a="1"/>
  <c r="O35" i="17" s="1"/>
  <c r="K35" i="17"/>
  <c r="L35" i="17"/>
  <c r="M35" i="17" s="1"/>
  <c r="I36" i="17"/>
  <c r="J36" i="17"/>
  <c r="O36" i="17" s="1" a="1"/>
  <c r="O36" i="17" s="1"/>
  <c r="K36" i="17"/>
  <c r="L36" i="17"/>
  <c r="I37" i="17"/>
  <c r="J37" i="17"/>
  <c r="O37" i="17" s="1" a="1"/>
  <c r="O37" i="17" s="1"/>
  <c r="K37" i="17"/>
  <c r="L37" i="17"/>
  <c r="M37" i="17" s="1"/>
  <c r="I38" i="17"/>
  <c r="J38" i="17"/>
  <c r="O38" i="17" s="1" a="1"/>
  <c r="O38" i="17" s="1"/>
  <c r="K38" i="17"/>
  <c r="L38" i="17"/>
  <c r="I39" i="17"/>
  <c r="J39" i="17"/>
  <c r="O39" i="17" s="1" a="1"/>
  <c r="O39" i="17" s="1"/>
  <c r="K39" i="17"/>
  <c r="L39" i="17"/>
  <c r="I40" i="17"/>
  <c r="J40" i="17"/>
  <c r="K40" i="17"/>
  <c r="L40" i="17"/>
  <c r="I41" i="17"/>
  <c r="J41" i="17"/>
  <c r="O41" i="17" s="1" a="1"/>
  <c r="O41" i="17" s="1"/>
  <c r="K41" i="17"/>
  <c r="L41" i="17"/>
  <c r="M41" i="17" s="1"/>
  <c r="I42" i="17"/>
  <c r="J42" i="17"/>
  <c r="K42" i="17"/>
  <c r="L42" i="17"/>
  <c r="M42" i="17" s="1"/>
  <c r="I43" i="17"/>
  <c r="J43" i="17"/>
  <c r="O43" i="17" s="1" a="1"/>
  <c r="O43" i="17" s="1"/>
  <c r="K43" i="17"/>
  <c r="L43" i="17"/>
  <c r="I44" i="17"/>
  <c r="J44" i="17"/>
  <c r="K44" i="17"/>
  <c r="L44" i="17"/>
  <c r="M44" i="17" s="1"/>
  <c r="I45" i="17"/>
  <c r="J45" i="17"/>
  <c r="O45" i="17" s="1" a="1"/>
  <c r="O45" i="17" s="1"/>
  <c r="K45" i="17"/>
  <c r="L45" i="17"/>
  <c r="M45" i="17" s="1"/>
  <c r="I46" i="17"/>
  <c r="J46" i="17"/>
  <c r="K46" i="17"/>
  <c r="L46" i="17"/>
  <c r="M46" i="17" s="1"/>
  <c r="I47" i="17"/>
  <c r="J47" i="17"/>
  <c r="O47" i="17" s="1" a="1"/>
  <c r="O47" i="17" s="1"/>
  <c r="K47" i="17"/>
  <c r="L47" i="17"/>
  <c r="M47" i="17" s="1"/>
  <c r="I48" i="17"/>
  <c r="J48" i="17"/>
  <c r="O48" i="17" s="1" a="1"/>
  <c r="K48" i="17"/>
  <c r="L48" i="17"/>
  <c r="M48" i="17" s="1"/>
  <c r="I49" i="17"/>
  <c r="J49" i="17"/>
  <c r="O49" i="17" s="1" a="1"/>
  <c r="O49" i="17" s="1"/>
  <c r="K49" i="17"/>
  <c r="L49" i="17"/>
  <c r="M49" i="17" s="1"/>
  <c r="I50" i="17"/>
  <c r="J50" i="17"/>
  <c r="O50" i="17" s="1" a="1"/>
  <c r="O50" i="17" s="1"/>
  <c r="K50" i="17"/>
  <c r="L50" i="17"/>
  <c r="M50" i="17" s="1"/>
  <c r="I51" i="17"/>
  <c r="J51" i="17"/>
  <c r="O51" i="17" s="1" a="1"/>
  <c r="O51" i="17" s="1"/>
  <c r="K51" i="17"/>
  <c r="L51" i="17"/>
  <c r="M51" i="17" s="1"/>
  <c r="I52" i="17"/>
  <c r="J52" i="17"/>
  <c r="K52" i="17"/>
  <c r="L52" i="17"/>
  <c r="M52" i="17" s="1"/>
  <c r="I53" i="17"/>
  <c r="J53" i="17"/>
  <c r="K53" i="17"/>
  <c r="L53" i="17"/>
  <c r="M53" i="17" s="1"/>
  <c r="I54" i="17"/>
  <c r="J54" i="17"/>
  <c r="K54" i="17"/>
  <c r="L54" i="17"/>
  <c r="M54" i="17" s="1"/>
  <c r="I55" i="17"/>
  <c r="J55" i="17"/>
  <c r="O55" i="17" s="1" a="1"/>
  <c r="O55" i="17" s="1"/>
  <c r="K55" i="17"/>
  <c r="L55" i="17"/>
  <c r="M55" i="17" s="1"/>
  <c r="I56" i="17"/>
  <c r="J56" i="17"/>
  <c r="O56" i="17" s="1" a="1"/>
  <c r="O56" i="17" s="1"/>
  <c r="K56" i="17"/>
  <c r="L56" i="17"/>
  <c r="M56" i="17" s="1"/>
  <c r="I57" i="17"/>
  <c r="J57" i="17"/>
  <c r="O57" i="17" s="1" a="1"/>
  <c r="O57" i="17" s="1"/>
  <c r="K57" i="17"/>
  <c r="L57" i="17"/>
  <c r="M57" i="17" s="1"/>
  <c r="I58" i="17"/>
  <c r="J58" i="17"/>
  <c r="K58" i="17"/>
  <c r="L58" i="17"/>
  <c r="I59" i="17"/>
  <c r="J59" i="17"/>
  <c r="O59" i="17" s="1" a="1"/>
  <c r="O59" i="17" s="1"/>
  <c r="K59" i="17"/>
  <c r="L59" i="17"/>
  <c r="M59" i="17" s="1"/>
  <c r="I60" i="17"/>
  <c r="J60" i="17"/>
  <c r="O60" i="17" s="1" a="1"/>
  <c r="O60" i="17" s="1"/>
  <c r="K60" i="17"/>
  <c r="L60" i="17"/>
  <c r="M60" i="17" s="1"/>
  <c r="I61" i="17"/>
  <c r="J61" i="17"/>
  <c r="O61" i="17" s="1" a="1"/>
  <c r="O61" i="17" s="1"/>
  <c r="K61" i="17"/>
  <c r="L61" i="17"/>
  <c r="M61" i="17" s="1"/>
  <c r="I62" i="17"/>
  <c r="J62" i="17"/>
  <c r="O62" i="17" s="1" a="1"/>
  <c r="O62" i="17" s="1"/>
  <c r="K62" i="17"/>
  <c r="L62" i="17"/>
  <c r="M62" i="17" s="1"/>
  <c r="I63" i="17"/>
  <c r="J63" i="17"/>
  <c r="O63" i="17" s="1" a="1"/>
  <c r="O63" i="17" s="1"/>
  <c r="K63" i="17"/>
  <c r="L63" i="17"/>
  <c r="M63" i="17" s="1"/>
  <c r="I64" i="17"/>
  <c r="J64" i="17"/>
  <c r="O64" i="17" s="1" a="1"/>
  <c r="O64" i="17" s="1"/>
  <c r="K64" i="17"/>
  <c r="L64" i="17"/>
  <c r="I65" i="17"/>
  <c r="J65" i="17"/>
  <c r="O65" i="17" s="1" a="1"/>
  <c r="O65" i="17" s="1"/>
  <c r="K65" i="17"/>
  <c r="L65" i="17"/>
  <c r="M65" i="17" s="1"/>
  <c r="I66" i="17"/>
  <c r="J66" i="17"/>
  <c r="O66" i="17" s="1" a="1"/>
  <c r="O66" i="17" s="1"/>
  <c r="K66" i="17"/>
  <c r="L66" i="17"/>
  <c r="M66" i="17" s="1"/>
  <c r="I67" i="17"/>
  <c r="J67" i="17"/>
  <c r="O67" i="17" s="1" a="1"/>
  <c r="O67" i="17" s="1"/>
  <c r="K67" i="17"/>
  <c r="L67" i="17"/>
  <c r="M67" i="17" s="1"/>
  <c r="I68" i="17"/>
  <c r="J68" i="17"/>
  <c r="O68" i="17" s="1" a="1"/>
  <c r="O68" i="17" s="1"/>
  <c r="K68" i="17"/>
  <c r="L68" i="17"/>
  <c r="I69" i="17"/>
  <c r="J69" i="17"/>
  <c r="O69" i="17" s="1" a="1"/>
  <c r="O69" i="17" s="1"/>
  <c r="K69" i="17"/>
  <c r="L69" i="17"/>
  <c r="I70" i="17"/>
  <c r="J70" i="17"/>
  <c r="K70" i="17"/>
  <c r="L70" i="17"/>
  <c r="M70" i="17" s="1"/>
  <c r="I71" i="17"/>
  <c r="J71" i="17"/>
  <c r="O71" i="17" s="1" a="1"/>
  <c r="O71" i="17" s="1"/>
  <c r="K71" i="17"/>
  <c r="L71" i="17"/>
  <c r="M71" i="17" s="1"/>
  <c r="I72" i="17"/>
  <c r="J72" i="17"/>
  <c r="K72" i="17"/>
  <c r="L72" i="17"/>
  <c r="M72" i="17" s="1"/>
  <c r="I73" i="17"/>
  <c r="J73" i="17"/>
  <c r="K73" i="17"/>
  <c r="L73" i="17"/>
  <c r="I74" i="17"/>
  <c r="J74" i="17"/>
  <c r="O74" i="17" s="1" a="1"/>
  <c r="O74" i="17" s="1"/>
  <c r="K74" i="17"/>
  <c r="L74" i="17"/>
  <c r="I75" i="17"/>
  <c r="J75" i="17"/>
  <c r="K75" i="17"/>
  <c r="L75" i="17"/>
  <c r="I76" i="17"/>
  <c r="J76" i="17"/>
  <c r="O76" i="17" s="1" a="1"/>
  <c r="O76" i="17" s="1"/>
  <c r="K76" i="17"/>
  <c r="L76" i="17"/>
  <c r="I77" i="17"/>
  <c r="J77" i="17"/>
  <c r="O77" i="17" s="1" a="1"/>
  <c r="O77" i="17" s="1"/>
  <c r="K77" i="17"/>
  <c r="L77" i="17"/>
  <c r="I78" i="17"/>
  <c r="J78" i="17"/>
  <c r="K78" i="17"/>
  <c r="L78" i="17"/>
  <c r="M78" i="17" s="1"/>
  <c r="I79" i="17"/>
  <c r="J79" i="17"/>
  <c r="K79" i="17"/>
  <c r="L79" i="17"/>
  <c r="M79" i="17" s="1"/>
  <c r="I80" i="17"/>
  <c r="J80" i="17"/>
  <c r="O80" i="17" s="1" a="1"/>
  <c r="O80" i="17" s="1"/>
  <c r="K80" i="17"/>
  <c r="L80" i="17"/>
  <c r="M80" i="17" s="1"/>
  <c r="I81" i="17"/>
  <c r="J81" i="17"/>
  <c r="O81" i="17" s="1" a="1"/>
  <c r="O81" i="17" s="1"/>
  <c r="K81" i="17"/>
  <c r="L81" i="17"/>
  <c r="M81" i="17" s="1"/>
  <c r="I82" i="17"/>
  <c r="J82" i="17"/>
  <c r="K82" i="17"/>
  <c r="L82" i="17"/>
  <c r="M82" i="17" s="1"/>
  <c r="I83" i="17"/>
  <c r="J83" i="17"/>
  <c r="O83" i="17" s="1" a="1"/>
  <c r="K83" i="17"/>
  <c r="L83" i="17"/>
  <c r="M83" i="17" s="1"/>
  <c r="I84" i="17"/>
  <c r="J84" i="17"/>
  <c r="K84" i="17"/>
  <c r="L84" i="17"/>
  <c r="M84" i="17" s="1"/>
  <c r="I85" i="17"/>
  <c r="J85" i="17"/>
  <c r="K85" i="17"/>
  <c r="L85" i="17"/>
  <c r="M85" i="17" s="1"/>
  <c r="I86" i="17"/>
  <c r="J86" i="17"/>
  <c r="O86" i="17" s="1" a="1"/>
  <c r="O86" i="17" s="1"/>
  <c r="K86" i="17"/>
  <c r="L86" i="17"/>
  <c r="M86" i="17" s="1"/>
  <c r="I87" i="17"/>
  <c r="J87" i="17"/>
  <c r="O87" i="17" s="1" a="1"/>
  <c r="O87" i="17" s="1"/>
  <c r="K87" i="17"/>
  <c r="L87" i="17"/>
  <c r="M87" i="17" s="1"/>
  <c r="I88" i="17"/>
  <c r="J88" i="17"/>
  <c r="O88" i="17" s="1" a="1"/>
  <c r="O88" i="17" s="1"/>
  <c r="K88" i="17"/>
  <c r="L88" i="17"/>
  <c r="M88" i="17" s="1"/>
  <c r="I89" i="17"/>
  <c r="J89" i="17"/>
  <c r="O89" i="17" s="1" a="1"/>
  <c r="O89" i="17" s="1"/>
  <c r="K89" i="17"/>
  <c r="L89" i="17"/>
  <c r="M89" i="17" s="1"/>
  <c r="I90" i="17"/>
  <c r="J90" i="17"/>
  <c r="K90" i="17"/>
  <c r="L90" i="17"/>
  <c r="M90" i="17" s="1"/>
  <c r="I91" i="17"/>
  <c r="J91" i="17"/>
  <c r="O91" i="17" s="1" a="1"/>
  <c r="O91" i="17" s="1"/>
  <c r="K91" i="17"/>
  <c r="L91" i="17"/>
  <c r="M91" i="17" s="1"/>
  <c r="I92" i="17"/>
  <c r="J92" i="17"/>
  <c r="O92" i="17" s="1" a="1"/>
  <c r="O92" i="17" s="1"/>
  <c r="K92" i="17"/>
  <c r="L92" i="17"/>
  <c r="M92" i="17" s="1"/>
  <c r="I93" i="17"/>
  <c r="J93" i="17"/>
  <c r="O93" i="17" s="1" a="1"/>
  <c r="O93" i="17" s="1"/>
  <c r="K93" i="17"/>
  <c r="L93" i="17"/>
  <c r="I94" i="17"/>
  <c r="J94" i="17"/>
  <c r="O94" i="17" s="1" a="1"/>
  <c r="O94" i="17" s="1"/>
  <c r="K94" i="17"/>
  <c r="L94" i="17"/>
  <c r="M94" i="17" s="1"/>
  <c r="I95" i="17"/>
  <c r="J95" i="17"/>
  <c r="O95" i="17" s="1" a="1"/>
  <c r="K95" i="17"/>
  <c r="L95" i="17"/>
  <c r="I96" i="17"/>
  <c r="J96" i="17"/>
  <c r="K96" i="17"/>
  <c r="L96" i="17"/>
  <c r="M96" i="17" s="1"/>
  <c r="I97" i="17"/>
  <c r="J97" i="17"/>
  <c r="O97" i="17" s="1" a="1"/>
  <c r="O97" i="17" s="1"/>
  <c r="K97" i="17"/>
  <c r="L97" i="17"/>
  <c r="M97" i="17" s="1"/>
  <c r="I98" i="17"/>
  <c r="J98" i="17"/>
  <c r="O98" i="17" s="1" a="1"/>
  <c r="O98" i="17" s="1"/>
  <c r="K98" i="17"/>
  <c r="L98" i="17"/>
  <c r="I99" i="17"/>
  <c r="J99" i="17"/>
  <c r="O99" i="17" s="1" a="1"/>
  <c r="O99" i="17" s="1"/>
  <c r="K99" i="17"/>
  <c r="L99" i="17"/>
  <c r="I100" i="17"/>
  <c r="J100" i="17"/>
  <c r="O100" i="17" s="1" a="1"/>
  <c r="O100" i="17" s="1"/>
  <c r="K100" i="17"/>
  <c r="L100" i="17"/>
  <c r="I101" i="17"/>
  <c r="J101" i="17"/>
  <c r="K101" i="17"/>
  <c r="L101" i="17"/>
  <c r="M101" i="17" s="1"/>
  <c r="I102" i="17"/>
  <c r="J102" i="17"/>
  <c r="K102" i="17"/>
  <c r="L102" i="17"/>
  <c r="M102" i="17" s="1"/>
  <c r="I103" i="17"/>
  <c r="J103" i="17"/>
  <c r="O103" i="17" s="1" a="1"/>
  <c r="O103" i="17" s="1"/>
  <c r="K103" i="17"/>
  <c r="L103" i="17"/>
  <c r="M103" i="17" s="1"/>
  <c r="I104" i="17"/>
  <c r="J104" i="17"/>
  <c r="O104" i="17" s="1" a="1"/>
  <c r="O104" i="17" s="1"/>
  <c r="K104" i="17"/>
  <c r="L104" i="17"/>
  <c r="M104" i="17" s="1"/>
  <c r="I105" i="17"/>
  <c r="J105" i="17"/>
  <c r="O105" i="17" s="1" a="1"/>
  <c r="O105" i="17" s="1"/>
  <c r="K105" i="17"/>
  <c r="L105" i="17"/>
  <c r="I106" i="17"/>
  <c r="J106" i="17"/>
  <c r="O106" i="17" s="1" a="1"/>
  <c r="K106" i="17"/>
  <c r="L106" i="17"/>
  <c r="I107" i="17"/>
  <c r="J107" i="17"/>
  <c r="O107" i="17" s="1" a="1"/>
  <c r="K107" i="17"/>
  <c r="L107" i="17"/>
  <c r="M107" i="17" s="1"/>
  <c r="I108" i="17"/>
  <c r="J108" i="17"/>
  <c r="O108" i="17" s="1" a="1"/>
  <c r="O108" i="17" s="1"/>
  <c r="K108" i="17"/>
  <c r="L108" i="17"/>
  <c r="M108" i="17" s="1"/>
  <c r="I109" i="17"/>
  <c r="J109" i="17"/>
  <c r="K109" i="17"/>
  <c r="L109" i="17"/>
  <c r="M109" i="17" s="1"/>
  <c r="I110" i="17"/>
  <c r="J110" i="17"/>
  <c r="K110" i="17"/>
  <c r="L110" i="17"/>
  <c r="I111" i="17"/>
  <c r="J111" i="17"/>
  <c r="O111" i="17" s="1" a="1"/>
  <c r="O111" i="17" s="1"/>
  <c r="K111" i="17"/>
  <c r="L111" i="17"/>
  <c r="I112" i="17"/>
  <c r="J112" i="17"/>
  <c r="K112" i="17"/>
  <c r="L112" i="17"/>
  <c r="M112" i="17" s="1"/>
  <c r="I113" i="17"/>
  <c r="J113" i="17"/>
  <c r="O113" i="17" s="1" a="1"/>
  <c r="O113" i="17" s="1"/>
  <c r="K113" i="17"/>
  <c r="L113" i="17"/>
  <c r="M113" i="17" s="1"/>
  <c r="I114" i="17"/>
  <c r="J114" i="17"/>
  <c r="O114" i="17" s="1" a="1"/>
  <c r="O114" i="17" s="1"/>
  <c r="K114" i="17"/>
  <c r="L114" i="17"/>
  <c r="M114" i="17" s="1"/>
  <c r="I115" i="17"/>
  <c r="J115" i="17"/>
  <c r="O115" i="17" s="1" a="1"/>
  <c r="O115" i="17" s="1"/>
  <c r="K115" i="17"/>
  <c r="L115" i="17"/>
  <c r="M115" i="17" s="1"/>
  <c r="I116" i="17"/>
  <c r="J116" i="17"/>
  <c r="O116" i="17" s="1" a="1"/>
  <c r="O116" i="17" s="1"/>
  <c r="K116" i="17"/>
  <c r="L116" i="17"/>
  <c r="M116" i="17" s="1"/>
  <c r="I117" i="17"/>
  <c r="J117" i="17"/>
  <c r="O117" i="17" s="1" a="1"/>
  <c r="O117" i="17" s="1"/>
  <c r="K117" i="17"/>
  <c r="L117" i="17"/>
  <c r="M117" i="17" s="1"/>
  <c r="I118" i="17"/>
  <c r="J118" i="17"/>
  <c r="O118" i="17" s="1" a="1"/>
  <c r="K118" i="17"/>
  <c r="L118" i="17"/>
  <c r="M118" i="17" s="1"/>
  <c r="I119" i="17"/>
  <c r="J119" i="17"/>
  <c r="O119" i="17" s="1" a="1"/>
  <c r="O119" i="17" s="1"/>
  <c r="K119" i="17"/>
  <c r="L119" i="17"/>
  <c r="M119" i="17" s="1"/>
  <c r="I120" i="17"/>
  <c r="J120" i="17"/>
  <c r="O120" i="17" s="1" a="1"/>
  <c r="O120" i="17" s="1"/>
  <c r="K120" i="17"/>
  <c r="L120" i="17"/>
  <c r="M120" i="17" s="1"/>
  <c r="I121" i="17"/>
  <c r="J121" i="17"/>
  <c r="O121" i="17" s="1" a="1"/>
  <c r="O121" i="17" s="1"/>
  <c r="K121" i="17"/>
  <c r="L121" i="17"/>
  <c r="M121" i="17" s="1"/>
  <c r="I122" i="17"/>
  <c r="J122" i="17"/>
  <c r="O122" i="17" s="1" a="1"/>
  <c r="O122" i="17" s="1"/>
  <c r="K122" i="17"/>
  <c r="L122" i="17"/>
  <c r="M122" i="17" s="1"/>
  <c r="I123" i="17"/>
  <c r="J123" i="17"/>
  <c r="O123" i="17" s="1" a="1"/>
  <c r="O123" i="17" s="1"/>
  <c r="K123" i="17"/>
  <c r="L123" i="17"/>
  <c r="M123" i="17" s="1"/>
  <c r="I124" i="17"/>
  <c r="J124" i="17"/>
  <c r="K124" i="17"/>
  <c r="L124" i="17"/>
  <c r="M124" i="17" s="1"/>
  <c r="I125" i="17"/>
  <c r="J125" i="17"/>
  <c r="K125" i="17"/>
  <c r="L125" i="17"/>
  <c r="M125" i="17" s="1"/>
  <c r="I126" i="17"/>
  <c r="J126" i="17"/>
  <c r="O126" i="17" s="1" a="1"/>
  <c r="O126" i="17" s="1"/>
  <c r="K126" i="17"/>
  <c r="L126" i="17"/>
  <c r="M126" i="17" s="1"/>
  <c r="I127" i="17"/>
  <c r="J127" i="17"/>
  <c r="K127" i="17"/>
  <c r="L127" i="17"/>
  <c r="I128" i="17"/>
  <c r="J128" i="17"/>
  <c r="K128" i="17"/>
  <c r="L128" i="17"/>
  <c r="I129" i="17"/>
  <c r="J129" i="17"/>
  <c r="O129" i="17" s="1" a="1"/>
  <c r="K129" i="17"/>
  <c r="L129" i="17"/>
  <c r="M129" i="17" s="1"/>
  <c r="I130" i="17"/>
  <c r="J130" i="17"/>
  <c r="K130" i="17"/>
  <c r="L130" i="17"/>
  <c r="I131" i="17"/>
  <c r="J131" i="17"/>
  <c r="K131" i="17"/>
  <c r="L131" i="17"/>
  <c r="M131" i="17" s="1"/>
  <c r="I132" i="17"/>
  <c r="J132" i="17"/>
  <c r="K132" i="17"/>
  <c r="L132" i="17"/>
  <c r="M132" i="17" s="1"/>
  <c r="I133" i="17"/>
  <c r="J133" i="17"/>
  <c r="O133" i="17" s="1" a="1"/>
  <c r="O133" i="17" s="1"/>
  <c r="K133" i="17"/>
  <c r="L133" i="17"/>
  <c r="M133" i="17" s="1"/>
  <c r="I134" i="17"/>
  <c r="J134" i="17"/>
  <c r="O134" i="17" s="1" a="1"/>
  <c r="K134" i="17"/>
  <c r="L134" i="17"/>
  <c r="M134" i="17" s="1"/>
  <c r="I135" i="17"/>
  <c r="J135" i="17"/>
  <c r="O135" i="17" s="1" a="1"/>
  <c r="O135" i="17" s="1"/>
  <c r="K135" i="17"/>
  <c r="L135" i="17"/>
  <c r="M135" i="17" s="1"/>
  <c r="I136" i="17"/>
  <c r="J136" i="17"/>
  <c r="K136" i="17"/>
  <c r="L136" i="17"/>
  <c r="I137" i="17"/>
  <c r="J137" i="17"/>
  <c r="O137" i="17" s="1" a="1"/>
  <c r="O137" i="17" s="1"/>
  <c r="K137" i="17"/>
  <c r="L137" i="17"/>
  <c r="M137" i="17" s="1"/>
  <c r="I138" i="17"/>
  <c r="J138" i="17"/>
  <c r="O138" i="17" s="1" a="1"/>
  <c r="O138" i="17" s="1"/>
  <c r="K138" i="17"/>
  <c r="L138" i="17"/>
  <c r="M138" i="17" s="1"/>
  <c r="I139" i="17"/>
  <c r="J139" i="17"/>
  <c r="O139" i="17" s="1" a="1"/>
  <c r="O139" i="17" s="1"/>
  <c r="K139" i="17"/>
  <c r="L139" i="17"/>
  <c r="I140" i="17"/>
  <c r="J140" i="17"/>
  <c r="O140" i="17" s="1" a="1"/>
  <c r="O140" i="17" s="1"/>
  <c r="K140" i="17"/>
  <c r="L140" i="17"/>
  <c r="I141" i="17"/>
  <c r="J141" i="17"/>
  <c r="O141" i="17" s="1" a="1"/>
  <c r="O141" i="17" s="1"/>
  <c r="K141" i="17"/>
  <c r="L141" i="17"/>
  <c r="I142" i="17"/>
  <c r="J142" i="17"/>
  <c r="O142" i="17" s="1" a="1"/>
  <c r="O142" i="17" s="1"/>
  <c r="K142" i="17"/>
  <c r="L142" i="17"/>
  <c r="M142" i="17" s="1"/>
  <c r="I143" i="17"/>
  <c r="J143" i="17"/>
  <c r="O143" i="17" s="1" a="1"/>
  <c r="O143" i="17" s="1"/>
  <c r="K143" i="17"/>
  <c r="L143" i="17"/>
  <c r="I144" i="17"/>
  <c r="J144" i="17"/>
  <c r="K144" i="17"/>
  <c r="L144" i="17"/>
  <c r="M144" i="17" s="1"/>
  <c r="I145" i="17"/>
  <c r="J145" i="17"/>
  <c r="O145" i="17" s="1" a="1"/>
  <c r="O145" i="17" s="1"/>
  <c r="K145" i="17"/>
  <c r="L145" i="17"/>
  <c r="M145" i="17" s="1"/>
  <c r="I146" i="17"/>
  <c r="J146" i="17"/>
  <c r="O146" i="17" s="1" a="1"/>
  <c r="O146" i="17" s="1"/>
  <c r="K146" i="17"/>
  <c r="L146" i="17"/>
  <c r="I147" i="17"/>
  <c r="J147" i="17"/>
  <c r="O147" i="17" s="1" a="1"/>
  <c r="O147" i="17" s="1"/>
  <c r="K147" i="17"/>
  <c r="L147" i="17"/>
  <c r="I148" i="17"/>
  <c r="J148" i="17"/>
  <c r="O148" i="17" s="1" a="1"/>
  <c r="O148" i="17" s="1"/>
  <c r="K148" i="17"/>
  <c r="L148" i="17"/>
  <c r="M148" i="17" s="1"/>
  <c r="I149" i="17"/>
  <c r="J149" i="17"/>
  <c r="O149" i="17" s="1" a="1"/>
  <c r="O149" i="17" s="1"/>
  <c r="K149" i="17"/>
  <c r="L149" i="17"/>
  <c r="M149" i="17" s="1"/>
  <c r="I150" i="17"/>
  <c r="J150" i="17"/>
  <c r="O150" i="17" s="1" a="1"/>
  <c r="O150" i="17" s="1"/>
  <c r="K150" i="17"/>
  <c r="L150" i="17"/>
  <c r="M150" i="17" s="1"/>
  <c r="I151" i="17"/>
  <c r="J151" i="17"/>
  <c r="K151" i="17"/>
  <c r="L151" i="17"/>
  <c r="M151" i="17" s="1"/>
  <c r="I152" i="17"/>
  <c r="J152" i="17"/>
  <c r="O152" i="17" s="1" a="1"/>
  <c r="O152" i="17" s="1"/>
  <c r="K152" i="17"/>
  <c r="L152" i="17"/>
  <c r="M152" i="17" s="1"/>
  <c r="I153" i="17"/>
  <c r="J153" i="17"/>
  <c r="O153" i="17" s="1" a="1"/>
  <c r="O153" i="17" s="1"/>
  <c r="K153" i="17"/>
  <c r="L153" i="17"/>
  <c r="M153" i="17" s="1"/>
  <c r="I154" i="17"/>
  <c r="J154" i="17"/>
  <c r="O154" i="17" s="1" a="1"/>
  <c r="K154" i="17"/>
  <c r="L154" i="17"/>
  <c r="M154" i="17" s="1"/>
  <c r="I155" i="17"/>
  <c r="J155" i="17"/>
  <c r="O155" i="17" s="1" a="1"/>
  <c r="O155" i="17" s="1"/>
  <c r="K155" i="17"/>
  <c r="L155" i="17"/>
  <c r="M155" i="17" s="1"/>
  <c r="I156" i="17"/>
  <c r="J156" i="17"/>
  <c r="K156" i="17"/>
  <c r="L156" i="17"/>
  <c r="M156" i="17" s="1"/>
  <c r="I157" i="17"/>
  <c r="J157" i="17"/>
  <c r="O157" i="17" s="1" a="1"/>
  <c r="K157" i="17"/>
  <c r="L157" i="17"/>
  <c r="M157" i="17" s="1"/>
  <c r="I158" i="17"/>
  <c r="J158" i="17"/>
  <c r="K158" i="17"/>
  <c r="L158" i="17"/>
  <c r="M158" i="17" s="1"/>
  <c r="I159" i="17"/>
  <c r="J159" i="17"/>
  <c r="K159" i="17"/>
  <c r="L159" i="17"/>
  <c r="I160" i="17"/>
  <c r="J160" i="17"/>
  <c r="K160" i="17"/>
  <c r="L160" i="17"/>
  <c r="M160" i="17" s="1"/>
  <c r="I161" i="17"/>
  <c r="J161" i="17"/>
  <c r="K161" i="17"/>
  <c r="L161" i="17"/>
  <c r="M161" i="17" s="1"/>
  <c r="I162" i="17"/>
  <c r="J162" i="17"/>
  <c r="K162" i="17"/>
  <c r="L162" i="17"/>
  <c r="I163" i="17"/>
  <c r="J163" i="17"/>
  <c r="O163" i="17" s="1" a="1"/>
  <c r="O163" i="17" s="1"/>
  <c r="K163" i="17"/>
  <c r="L163" i="17"/>
  <c r="M163" i="17" s="1"/>
  <c r="I164" i="17"/>
  <c r="J164" i="17"/>
  <c r="O164" i="17" s="1" a="1"/>
  <c r="O164" i="17" s="1"/>
  <c r="K164" i="17"/>
  <c r="L164" i="17"/>
  <c r="M164" i="17" s="1"/>
  <c r="I165" i="17"/>
  <c r="J165" i="17"/>
  <c r="O165" i="17" s="1" a="1"/>
  <c r="O165" i="17" s="1"/>
  <c r="K165" i="17"/>
  <c r="L165" i="17"/>
  <c r="I166" i="17"/>
  <c r="J166" i="17"/>
  <c r="O166" i="17" s="1" a="1"/>
  <c r="O166" i="17" s="1"/>
  <c r="K166" i="17"/>
  <c r="L166" i="17"/>
  <c r="M166" i="17" s="1"/>
  <c r="I167" i="17"/>
  <c r="J167" i="17"/>
  <c r="O167" i="17" s="1" a="1"/>
  <c r="O167" i="17" s="1"/>
  <c r="K167" i="17"/>
  <c r="L167" i="17"/>
  <c r="M167" i="17" s="1"/>
  <c r="I168" i="17"/>
  <c r="J168" i="17"/>
  <c r="O168" i="17" s="1" a="1"/>
  <c r="O168" i="17" s="1"/>
  <c r="K168" i="17"/>
  <c r="L168" i="17"/>
  <c r="M168" i="17" s="1"/>
  <c r="I169" i="17"/>
  <c r="J169" i="17"/>
  <c r="O169" i="17" s="1" a="1"/>
  <c r="O169" i="17" s="1"/>
  <c r="K169" i="17"/>
  <c r="L169" i="17"/>
  <c r="M169" i="17" s="1"/>
  <c r="I170" i="17"/>
  <c r="J170" i="17"/>
  <c r="O170" i="17" s="1" a="1"/>
  <c r="O170" i="17" s="1"/>
  <c r="K170" i="17"/>
  <c r="L170" i="17"/>
  <c r="M170" i="17" s="1"/>
  <c r="I171" i="17"/>
  <c r="J171" i="17"/>
  <c r="O171" i="17" s="1" a="1"/>
  <c r="O171" i="17" s="1"/>
  <c r="K171" i="17"/>
  <c r="L171" i="17"/>
  <c r="I172" i="17"/>
  <c r="J172" i="17"/>
  <c r="K172" i="17"/>
  <c r="L172" i="17"/>
  <c r="I173" i="17"/>
  <c r="J173" i="17"/>
  <c r="O173" i="17" s="1" a="1"/>
  <c r="O173" i="17" s="1"/>
  <c r="K173" i="17"/>
  <c r="L173" i="17"/>
  <c r="M173" i="17" s="1"/>
  <c r="I174" i="17"/>
  <c r="J174" i="17"/>
  <c r="K174" i="17"/>
  <c r="L174" i="17"/>
  <c r="M174" i="17" s="1"/>
  <c r="I175" i="17"/>
  <c r="J175" i="17"/>
  <c r="O175" i="17" s="1" a="1"/>
  <c r="K175" i="17"/>
  <c r="L175" i="17"/>
  <c r="I176" i="17"/>
  <c r="J176" i="17"/>
  <c r="O176" i="17" s="1" a="1"/>
  <c r="O176" i="17" s="1"/>
  <c r="K176" i="17"/>
  <c r="L176" i="17"/>
  <c r="I177" i="17"/>
  <c r="J177" i="17"/>
  <c r="O177" i="17" s="1" a="1"/>
  <c r="O177" i="17" s="1"/>
  <c r="K177" i="17"/>
  <c r="L177" i="17"/>
  <c r="I178" i="17"/>
  <c r="J178" i="17"/>
  <c r="O178" i="17" s="1" a="1"/>
  <c r="K178" i="17"/>
  <c r="L178" i="17"/>
  <c r="I179" i="17"/>
  <c r="J179" i="17"/>
  <c r="O179" i="17" s="1" a="1"/>
  <c r="K179" i="17"/>
  <c r="L179" i="17"/>
  <c r="M179" i="17" s="1"/>
  <c r="I180" i="17"/>
  <c r="J180" i="17"/>
  <c r="O180" i="17" s="1" a="1"/>
  <c r="O180" i="17" s="1"/>
  <c r="K180" i="17"/>
  <c r="L180" i="17"/>
  <c r="M180" i="17" s="1"/>
  <c r="I181" i="17"/>
  <c r="J181" i="17"/>
  <c r="O181" i="17" s="1" a="1"/>
  <c r="O181" i="17" s="1"/>
  <c r="K181" i="17"/>
  <c r="L181" i="17"/>
  <c r="I182" i="17"/>
  <c r="J182" i="17"/>
  <c r="K182" i="17"/>
  <c r="L182" i="17"/>
  <c r="M182" i="17" s="1"/>
  <c r="I183" i="17"/>
  <c r="J183" i="17"/>
  <c r="K183" i="17"/>
  <c r="L183" i="17"/>
  <c r="M183" i="17" s="1"/>
  <c r="I184" i="17"/>
  <c r="J184" i="17"/>
  <c r="K184" i="17"/>
  <c r="L184" i="17"/>
  <c r="M184" i="17" s="1"/>
  <c r="I185" i="17"/>
  <c r="J185" i="17"/>
  <c r="O185" i="17" s="1" a="1"/>
  <c r="O185" i="17" s="1"/>
  <c r="K185" i="17"/>
  <c r="L185" i="17"/>
  <c r="M185" i="17" s="1"/>
  <c r="I186" i="17"/>
  <c r="J186" i="17"/>
  <c r="O186" i="17" s="1" a="1"/>
  <c r="K186" i="17"/>
  <c r="L186" i="17"/>
  <c r="M186" i="17" s="1"/>
  <c r="I187" i="17"/>
  <c r="J187" i="17"/>
  <c r="K187" i="17"/>
  <c r="L187" i="17"/>
  <c r="M187" i="17" s="1"/>
  <c r="I188" i="17"/>
  <c r="J188" i="17"/>
  <c r="O188" i="17" s="1" a="1"/>
  <c r="O188" i="17" s="1"/>
  <c r="K188" i="17"/>
  <c r="L188" i="17"/>
  <c r="M188" i="17" s="1"/>
  <c r="I189" i="17"/>
  <c r="J189" i="17"/>
  <c r="O189" i="17" s="1" a="1"/>
  <c r="O189" i="17" s="1"/>
  <c r="K189" i="17"/>
  <c r="L189" i="17"/>
  <c r="M189" i="17" s="1"/>
  <c r="I190" i="17"/>
  <c r="J190" i="17"/>
  <c r="O190" i="17" s="1" a="1"/>
  <c r="O190" i="17" s="1"/>
  <c r="K190" i="17"/>
  <c r="L190" i="17"/>
  <c r="M190" i="17" s="1"/>
  <c r="I191" i="17"/>
  <c r="J191" i="17"/>
  <c r="O191" i="17" s="1" a="1"/>
  <c r="O191" i="17" s="1"/>
  <c r="K191" i="17"/>
  <c r="L191" i="17"/>
  <c r="M191" i="17" s="1"/>
  <c r="I192" i="17"/>
  <c r="J192" i="17"/>
  <c r="O192" i="17" s="1" a="1"/>
  <c r="K192" i="17"/>
  <c r="L192" i="17"/>
  <c r="M192" i="17" s="1"/>
  <c r="I193" i="17"/>
  <c r="J193" i="17"/>
  <c r="O193" i="17" s="1" a="1"/>
  <c r="O193" i="17" s="1"/>
  <c r="K193" i="17"/>
  <c r="L193" i="17"/>
  <c r="M193" i="17" s="1"/>
  <c r="I194" i="17"/>
  <c r="J194" i="17"/>
  <c r="O194" i="17" s="1" a="1"/>
  <c r="O194" i="17" s="1"/>
  <c r="K194" i="17"/>
  <c r="L194" i="17"/>
  <c r="M194" i="17" s="1"/>
  <c r="I195" i="17"/>
  <c r="J195" i="17"/>
  <c r="O195" i="17" s="1" a="1"/>
  <c r="O195" i="17" s="1"/>
  <c r="K195" i="17"/>
  <c r="L195" i="17"/>
  <c r="M195" i="17" s="1"/>
  <c r="I196" i="17"/>
  <c r="J196" i="17"/>
  <c r="O196" i="17" s="1" a="1"/>
  <c r="O196" i="17" s="1"/>
  <c r="K196" i="17"/>
  <c r="L196" i="17"/>
  <c r="I197" i="17"/>
  <c r="J197" i="17"/>
  <c r="O197" i="17" s="1" a="1"/>
  <c r="O197" i="17" s="1"/>
  <c r="K197" i="17"/>
  <c r="L197" i="17"/>
  <c r="M197" i="17" s="1"/>
  <c r="I198" i="17"/>
  <c r="J198" i="17"/>
  <c r="K198" i="17"/>
  <c r="L198" i="17"/>
  <c r="M198" i="17" s="1"/>
  <c r="I199" i="17"/>
  <c r="J199" i="17"/>
  <c r="O199" i="17" s="1" a="1"/>
  <c r="O199" i="17" s="1"/>
  <c r="K199" i="17"/>
  <c r="L199" i="17"/>
  <c r="I200" i="17"/>
  <c r="J200" i="17"/>
  <c r="K200" i="17"/>
  <c r="L200" i="17"/>
  <c r="I201" i="17"/>
  <c r="J201" i="17"/>
  <c r="K201" i="17"/>
  <c r="L201" i="17"/>
  <c r="I202" i="17"/>
  <c r="J202" i="17"/>
  <c r="O202" i="17" s="1" a="1"/>
  <c r="K202" i="17"/>
  <c r="L202" i="17"/>
  <c r="M202" i="17" s="1"/>
  <c r="I203" i="17"/>
  <c r="J203" i="17"/>
  <c r="K203" i="17"/>
  <c r="L203" i="17"/>
  <c r="M203" i="17" s="1"/>
  <c r="I204" i="17"/>
  <c r="J204" i="17"/>
  <c r="O204" i="17" s="1" a="1"/>
  <c r="O204" i="17" s="1"/>
  <c r="K204" i="17"/>
  <c r="L204" i="17"/>
  <c r="M204" i="17" s="1"/>
  <c r="I205" i="17"/>
  <c r="J205" i="17"/>
  <c r="O205" i="17" s="1" a="1"/>
  <c r="O205" i="17" s="1"/>
  <c r="K205" i="17"/>
  <c r="L205" i="17"/>
  <c r="I206" i="17"/>
  <c r="J206" i="17"/>
  <c r="O206" i="17" s="1" a="1"/>
  <c r="O206" i="17" s="1"/>
  <c r="K206" i="17"/>
  <c r="L206" i="17"/>
  <c r="I207" i="17"/>
  <c r="J207" i="17"/>
  <c r="O207" i="17" s="1" a="1"/>
  <c r="O207" i="17" s="1"/>
  <c r="K207" i="17"/>
  <c r="L207" i="17"/>
  <c r="I208" i="17"/>
  <c r="J208" i="17"/>
  <c r="O208" i="17" s="1" a="1"/>
  <c r="O208" i="17" s="1"/>
  <c r="K208" i="17"/>
  <c r="L208" i="17"/>
  <c r="M208" i="17" s="1"/>
  <c r="I209" i="17"/>
  <c r="J209" i="17"/>
  <c r="O209" i="17" s="1" a="1"/>
  <c r="O209" i="17" s="1"/>
  <c r="K209" i="17"/>
  <c r="L209" i="17"/>
  <c r="M209" i="17" s="1"/>
  <c r="I210" i="17"/>
  <c r="J210" i="17"/>
  <c r="O210" i="17" s="1" a="1"/>
  <c r="K210" i="17"/>
  <c r="L210" i="17"/>
  <c r="M210" i="17" s="1"/>
  <c r="I211" i="17"/>
  <c r="J211" i="17"/>
  <c r="O211" i="17" s="1" a="1"/>
  <c r="K211" i="17"/>
  <c r="L211" i="17"/>
  <c r="I212" i="17"/>
  <c r="J212" i="17"/>
  <c r="K212" i="17"/>
  <c r="L212" i="17"/>
  <c r="M212" i="17" s="1"/>
  <c r="I213" i="17"/>
  <c r="J213" i="17"/>
  <c r="O213" i="17" s="1" a="1"/>
  <c r="K213" i="17"/>
  <c r="L213" i="17"/>
  <c r="M213" i="17" s="1"/>
  <c r="I214" i="17"/>
  <c r="J214" i="17"/>
  <c r="O214" i="17" s="1" a="1"/>
  <c r="K214" i="17"/>
  <c r="L214" i="17"/>
  <c r="M214" i="17" s="1"/>
  <c r="I215" i="17"/>
  <c r="J215" i="17"/>
  <c r="K215" i="17"/>
  <c r="L215" i="17"/>
  <c r="I216" i="17"/>
  <c r="J216" i="17"/>
  <c r="K216" i="17"/>
  <c r="L216" i="17"/>
  <c r="M216" i="17" s="1"/>
  <c r="I217" i="17"/>
  <c r="J217" i="17"/>
  <c r="O217" i="17" s="1" a="1"/>
  <c r="O217" i="17" s="1"/>
  <c r="K217" i="17"/>
  <c r="L217" i="17"/>
  <c r="I218" i="17"/>
  <c r="J218" i="17"/>
  <c r="O218" i="17" s="1" a="1"/>
  <c r="O218" i="17" s="1"/>
  <c r="K218" i="17"/>
  <c r="L218" i="17"/>
  <c r="M218" i="17" s="1"/>
  <c r="I219" i="17"/>
  <c r="J219" i="17"/>
  <c r="O219" i="17" s="1" a="1"/>
  <c r="O219" i="17" s="1"/>
  <c r="K219" i="17"/>
  <c r="L219" i="17"/>
  <c r="M219" i="17" s="1"/>
  <c r="I220" i="17"/>
  <c r="J220" i="17"/>
  <c r="O220" i="17" s="1" a="1"/>
  <c r="O220" i="17" s="1"/>
  <c r="K220" i="17"/>
  <c r="L220" i="17"/>
  <c r="M220" i="17" s="1"/>
  <c r="I221" i="17"/>
  <c r="J221" i="17"/>
  <c r="O221" i="17" s="1" a="1"/>
  <c r="O221" i="17" s="1"/>
  <c r="K221" i="17"/>
  <c r="L221" i="17"/>
  <c r="M221" i="17" s="1"/>
  <c r="I222" i="17"/>
  <c r="J222" i="17"/>
  <c r="K222" i="17"/>
  <c r="L222" i="17"/>
  <c r="M222" i="17" s="1"/>
  <c r="I223" i="17"/>
  <c r="J223" i="17"/>
  <c r="O223" i="17" s="1" a="1"/>
  <c r="O223" i="17" s="1"/>
  <c r="K223" i="17"/>
  <c r="L223" i="17"/>
  <c r="M223" i="17" s="1"/>
  <c r="I224" i="17"/>
  <c r="J224" i="17"/>
  <c r="O224" i="17" s="1" a="1"/>
  <c r="O224" i="17" s="1"/>
  <c r="K224" i="17"/>
  <c r="L224" i="17"/>
  <c r="M224" i="17" s="1"/>
  <c r="I225" i="17"/>
  <c r="J225" i="17"/>
  <c r="O225" i="17" s="1" a="1"/>
  <c r="O225" i="17" s="1"/>
  <c r="K225" i="17"/>
  <c r="L225" i="17"/>
  <c r="M225" i="17" s="1"/>
  <c r="I226" i="17"/>
  <c r="J226" i="17"/>
  <c r="O226" i="17" s="1" a="1"/>
  <c r="O226" i="17" s="1"/>
  <c r="K226" i="17"/>
  <c r="L226" i="17"/>
  <c r="M226" i="17" s="1"/>
  <c r="I227" i="17"/>
  <c r="J227" i="17"/>
  <c r="K227" i="17"/>
  <c r="L227" i="17"/>
  <c r="M227" i="17" s="1"/>
  <c r="I228" i="17"/>
  <c r="J228" i="17"/>
  <c r="O228" i="17" s="1" a="1"/>
  <c r="O228" i="17" s="1"/>
  <c r="K228" i="17"/>
  <c r="L228" i="17"/>
  <c r="M228" i="17" s="1"/>
  <c r="I229" i="17"/>
  <c r="J229" i="17"/>
  <c r="O229" i="17" s="1" a="1"/>
  <c r="O229" i="17" s="1"/>
  <c r="K229" i="17"/>
  <c r="L229" i="17"/>
  <c r="M229" i="17" s="1"/>
  <c r="I230" i="17"/>
  <c r="J230" i="17"/>
  <c r="O230" i="17" s="1" a="1"/>
  <c r="O230" i="17" s="1"/>
  <c r="K230" i="17"/>
  <c r="L230" i="17"/>
  <c r="M230" i="17" s="1"/>
  <c r="I231" i="17"/>
  <c r="J231" i="17"/>
  <c r="K231" i="17"/>
  <c r="L231" i="17"/>
  <c r="M231" i="17" s="1"/>
  <c r="I232" i="17"/>
  <c r="J232" i="17"/>
  <c r="K232" i="17"/>
  <c r="L232" i="17"/>
  <c r="I233" i="17"/>
  <c r="J233" i="17"/>
  <c r="O233" i="17" s="1" a="1"/>
  <c r="O233" i="17" s="1"/>
  <c r="K233" i="17"/>
  <c r="L233" i="17"/>
  <c r="M233" i="17" s="1"/>
  <c r="I234" i="17"/>
  <c r="J234" i="17"/>
  <c r="O234" i="17" s="1" a="1"/>
  <c r="K234" i="17"/>
  <c r="L234" i="17"/>
  <c r="M234" i="17" s="1"/>
  <c r="I235" i="17"/>
  <c r="J235" i="17"/>
  <c r="O235" i="17" s="1" a="1"/>
  <c r="O235" i="17" s="1"/>
  <c r="K235" i="17"/>
  <c r="L235" i="17"/>
  <c r="M235" i="17" s="1"/>
  <c r="I236" i="17"/>
  <c r="J236" i="17"/>
  <c r="O236" i="17" s="1" a="1"/>
  <c r="O236" i="17" s="1"/>
  <c r="K236" i="17"/>
  <c r="L236" i="17"/>
  <c r="M236" i="17" s="1"/>
  <c r="I237" i="17"/>
  <c r="J237" i="17"/>
  <c r="O237" i="17" s="1" a="1"/>
  <c r="O237" i="17" s="1"/>
  <c r="K237" i="17"/>
  <c r="L237" i="17"/>
  <c r="M237" i="17" s="1"/>
  <c r="I238" i="17"/>
  <c r="J238" i="17"/>
  <c r="O238" i="17" s="1" a="1"/>
  <c r="O238" i="17" s="1"/>
  <c r="K238" i="17"/>
  <c r="L238" i="17"/>
  <c r="M238" i="17" s="1"/>
  <c r="I239" i="17"/>
  <c r="J239" i="17"/>
  <c r="K239" i="17"/>
  <c r="L239" i="17"/>
  <c r="M239" i="17" s="1"/>
  <c r="I240" i="17"/>
  <c r="J240" i="17"/>
  <c r="K240" i="17"/>
  <c r="L240" i="17"/>
  <c r="M240" i="17" s="1"/>
  <c r="I241" i="17"/>
  <c r="J241" i="17"/>
  <c r="K241" i="17"/>
  <c r="L241" i="17"/>
  <c r="M241" i="17" s="1"/>
  <c r="I242" i="17"/>
  <c r="J242" i="17"/>
  <c r="O242" i="17" s="1" a="1"/>
  <c r="O242" i="17" s="1"/>
  <c r="K242" i="17"/>
  <c r="L242" i="17"/>
  <c r="I243" i="17"/>
  <c r="J243" i="17"/>
  <c r="O243" i="17" s="1" a="1"/>
  <c r="O243" i="17" s="1"/>
  <c r="K243" i="17"/>
  <c r="L243" i="17"/>
  <c r="I244" i="17"/>
  <c r="J244" i="17"/>
  <c r="O244" i="17" s="1" a="1"/>
  <c r="O244" i="17" s="1"/>
  <c r="K244" i="17"/>
  <c r="L244" i="17"/>
  <c r="I245" i="17"/>
  <c r="J245" i="17"/>
  <c r="O245" i="17" s="1" a="1"/>
  <c r="O245" i="17" s="1"/>
  <c r="K245" i="17"/>
  <c r="L245" i="17"/>
  <c r="M245" i="17" s="1"/>
  <c r="I246" i="17"/>
  <c r="J246" i="17"/>
  <c r="O246" i="17" s="1" a="1"/>
  <c r="O246" i="17" s="1"/>
  <c r="K246" i="17"/>
  <c r="L246" i="17"/>
  <c r="M246" i="17" s="1"/>
  <c r="I247" i="17"/>
  <c r="J247" i="17"/>
  <c r="O247" i="17" s="1" a="1"/>
  <c r="O247" i="17" s="1"/>
  <c r="K247" i="17"/>
  <c r="L247" i="17"/>
  <c r="I248" i="17"/>
  <c r="J248" i="17"/>
  <c r="O248" i="17" s="1" a="1"/>
  <c r="O248" i="17" s="1"/>
  <c r="K248" i="17"/>
  <c r="L248" i="17"/>
  <c r="M248" i="17" s="1"/>
  <c r="I249" i="17"/>
  <c r="J249" i="17"/>
  <c r="O249" i="17" s="1" a="1"/>
  <c r="O249" i="17" s="1"/>
  <c r="K249" i="17"/>
  <c r="L249" i="17"/>
  <c r="M249" i="17" s="1"/>
  <c r="I250" i="17"/>
  <c r="J250" i="17"/>
  <c r="O250" i="17" s="1" a="1"/>
  <c r="K250" i="17"/>
  <c r="L250" i="17"/>
  <c r="M250" i="17" s="1"/>
  <c r="I251" i="17"/>
  <c r="J251" i="17"/>
  <c r="O251" i="17" s="1" a="1"/>
  <c r="O251" i="17" s="1"/>
  <c r="K251" i="17"/>
  <c r="L251" i="17"/>
  <c r="M251" i="17" s="1"/>
  <c r="I252" i="17"/>
  <c r="J252" i="17"/>
  <c r="O252" i="17" s="1" a="1"/>
  <c r="O252" i="17" s="1"/>
  <c r="K252" i="17"/>
  <c r="L252" i="17"/>
  <c r="M252" i="17" s="1"/>
  <c r="I253" i="17"/>
  <c r="J253" i="17"/>
  <c r="O253" i="17" s="1" a="1"/>
  <c r="O253" i="17" s="1"/>
  <c r="K253" i="17"/>
  <c r="L253" i="17"/>
  <c r="M253" i="17" s="1"/>
  <c r="I254" i="17"/>
  <c r="J254" i="17"/>
  <c r="K254" i="17"/>
  <c r="L254" i="17"/>
  <c r="M254" i="17" s="1"/>
  <c r="I255" i="17"/>
  <c r="J255" i="17"/>
  <c r="O255" i="17" s="1" a="1"/>
  <c r="O255" i="17" s="1"/>
  <c r="K255" i="17"/>
  <c r="L255" i="17"/>
  <c r="M255" i="17" s="1"/>
  <c r="I256" i="17"/>
  <c r="J256" i="17"/>
  <c r="O256" i="17" s="1" a="1"/>
  <c r="O256" i="17" s="1"/>
  <c r="K256" i="17"/>
  <c r="L256" i="17"/>
  <c r="M256" i="17" s="1"/>
  <c r="I257" i="17"/>
  <c r="J257" i="17"/>
  <c r="K257" i="17"/>
  <c r="L257" i="17"/>
  <c r="M257" i="17" s="1"/>
  <c r="I258" i="17"/>
  <c r="J258" i="17"/>
  <c r="K258" i="17"/>
  <c r="L258" i="17"/>
  <c r="M258" i="17" s="1"/>
  <c r="I259" i="17"/>
  <c r="J259" i="17"/>
  <c r="O259" i="17" s="1" a="1"/>
  <c r="O259" i="17" s="1"/>
  <c r="K259" i="17"/>
  <c r="L259" i="17"/>
  <c r="I260" i="17"/>
  <c r="J260" i="17"/>
  <c r="K260" i="17"/>
  <c r="L260" i="17"/>
  <c r="M260" i="17" s="1"/>
  <c r="I261" i="17"/>
  <c r="J261" i="17"/>
  <c r="O261" i="17" s="1" a="1"/>
  <c r="O261" i="17" s="1"/>
  <c r="K261" i="17"/>
  <c r="L261" i="17"/>
  <c r="I262" i="17"/>
  <c r="J262" i="17"/>
  <c r="K262" i="17"/>
  <c r="L262" i="17"/>
  <c r="M262" i="17" s="1"/>
  <c r="I263" i="17"/>
  <c r="J263" i="17"/>
  <c r="O263" i="17" s="1" a="1"/>
  <c r="O263" i="17" s="1"/>
  <c r="K263" i="17"/>
  <c r="L263" i="17"/>
  <c r="M263" i="17" s="1"/>
  <c r="I264" i="17"/>
  <c r="J264" i="17"/>
  <c r="O264" i="17" s="1" a="1"/>
  <c r="K264" i="17"/>
  <c r="L264" i="17"/>
  <c r="M264" i="17" s="1"/>
  <c r="I265" i="17"/>
  <c r="J265" i="17"/>
  <c r="O265" i="17" s="1" a="1"/>
  <c r="K265" i="17"/>
  <c r="L265" i="17"/>
  <c r="M265" i="17" s="1"/>
  <c r="I266" i="17"/>
  <c r="J266" i="17"/>
  <c r="O266" i="17" s="1" a="1"/>
  <c r="O266" i="17" s="1"/>
  <c r="K266" i="17"/>
  <c r="L266" i="17"/>
  <c r="M266" i="17" s="1"/>
  <c r="I267" i="17"/>
  <c r="J267" i="17"/>
  <c r="O267" i="17" s="1" a="1"/>
  <c r="O267" i="17" s="1"/>
  <c r="K267" i="17"/>
  <c r="L267" i="17"/>
  <c r="M267" i="17" s="1"/>
  <c r="I268" i="17"/>
  <c r="J268" i="17"/>
  <c r="K268" i="17"/>
  <c r="L268" i="17"/>
  <c r="I269" i="17"/>
  <c r="J269" i="17"/>
  <c r="K269" i="17"/>
  <c r="L269" i="17"/>
  <c r="M269" i="17" s="1"/>
  <c r="I270" i="17"/>
  <c r="J270" i="17"/>
  <c r="O270" i="17" s="1" a="1"/>
  <c r="O270" i="17" s="1"/>
  <c r="K270" i="17"/>
  <c r="L270" i="17"/>
  <c r="M270" i="17" s="1"/>
  <c r="I271" i="17"/>
  <c r="J271" i="17"/>
  <c r="O271" i="17" s="1" a="1"/>
  <c r="O271" i="17" s="1"/>
  <c r="K271" i="17"/>
  <c r="L271" i="17"/>
  <c r="I272" i="17"/>
  <c r="J272" i="17"/>
  <c r="O272" i="17" s="1" a="1"/>
  <c r="O272" i="17" s="1"/>
  <c r="K272" i="17"/>
  <c r="L272" i="17"/>
  <c r="I273" i="17"/>
  <c r="J273" i="17"/>
  <c r="O273" i="17" s="1" a="1"/>
  <c r="O273" i="17" s="1"/>
  <c r="K273" i="17"/>
  <c r="L273" i="17"/>
  <c r="I274" i="17"/>
  <c r="J274" i="17"/>
  <c r="O274" i="17" s="1" a="1"/>
  <c r="O274" i="17" s="1"/>
  <c r="K274" i="17"/>
  <c r="L274" i="17"/>
  <c r="I275" i="17"/>
  <c r="J275" i="17"/>
  <c r="O275" i="17" s="1" a="1"/>
  <c r="O275" i="17" s="1"/>
  <c r="K275" i="17"/>
  <c r="L275" i="17"/>
  <c r="I276" i="17"/>
  <c r="J276" i="17"/>
  <c r="O276" i="17" s="1" a="1"/>
  <c r="O276" i="17" s="1"/>
  <c r="K276" i="17"/>
  <c r="L276" i="17"/>
  <c r="M276" i="17" s="1"/>
  <c r="I277" i="17"/>
  <c r="J277" i="17"/>
  <c r="K277" i="17"/>
  <c r="L277" i="17"/>
  <c r="I278" i="17"/>
  <c r="J278" i="17"/>
  <c r="O278" i="17" s="1" a="1"/>
  <c r="O278" i="17" s="1"/>
  <c r="K278" i="17"/>
  <c r="L278" i="17"/>
  <c r="M278" i="17" s="1"/>
  <c r="I279" i="17"/>
  <c r="J279" i="17"/>
  <c r="O279" i="17" s="1" a="1"/>
  <c r="O279" i="17" s="1"/>
  <c r="K279" i="17"/>
  <c r="L279" i="17"/>
  <c r="M279" i="17" s="1"/>
  <c r="I280" i="17"/>
  <c r="J280" i="17"/>
  <c r="K280" i="17"/>
  <c r="L280" i="17"/>
  <c r="M280" i="17" s="1"/>
  <c r="I281" i="17"/>
  <c r="J281" i="17"/>
  <c r="O281" i="17" s="1" a="1"/>
  <c r="O281" i="17" s="1"/>
  <c r="K281" i="17"/>
  <c r="L281" i="17"/>
  <c r="M281" i="17" s="1"/>
  <c r="I282" i="17"/>
  <c r="J282" i="17"/>
  <c r="O282" i="17" s="1" a="1"/>
  <c r="O282" i="17" s="1"/>
  <c r="K282" i="17"/>
  <c r="L282" i="17"/>
  <c r="M282" i="17" s="1"/>
  <c r="I283" i="17"/>
  <c r="J283" i="17"/>
  <c r="O283" i="17" s="1" a="1"/>
  <c r="K283" i="17"/>
  <c r="L283" i="17"/>
  <c r="M283" i="17" s="1"/>
  <c r="I284" i="17"/>
  <c r="J284" i="17"/>
  <c r="O284" i="17" s="1" a="1"/>
  <c r="O284" i="17" s="1"/>
  <c r="K284" i="17"/>
  <c r="L284" i="17"/>
  <c r="M284" i="17" s="1"/>
  <c r="I285" i="17"/>
  <c r="J285" i="17"/>
  <c r="O285" i="17" s="1" a="1"/>
  <c r="O285" i="17" s="1"/>
  <c r="K285" i="17"/>
  <c r="L285" i="17"/>
  <c r="M285" i="17" s="1"/>
  <c r="I286" i="17"/>
  <c r="J286" i="17"/>
  <c r="O286" i="17" s="1" a="1"/>
  <c r="O286" i="17" s="1"/>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O291" i="17" s="1" a="1"/>
  <c r="O291" i="17" s="1"/>
  <c r="K291" i="17"/>
  <c r="L291" i="17"/>
  <c r="I292" i="17"/>
  <c r="J292" i="17"/>
  <c r="O292" i="17" s="1" a="1"/>
  <c r="O292" i="17" s="1"/>
  <c r="K292" i="17"/>
  <c r="L292" i="17"/>
  <c r="M292" i="17" s="1"/>
  <c r="I293" i="17"/>
  <c r="J293" i="17"/>
  <c r="O293" i="17" s="1" a="1"/>
  <c r="O293" i="17" s="1"/>
  <c r="K293" i="17"/>
  <c r="L293" i="17"/>
  <c r="M293" i="17" s="1"/>
  <c r="I294" i="17"/>
  <c r="J294" i="17"/>
  <c r="O294" i="17" s="1" a="1"/>
  <c r="O294" i="17" s="1"/>
  <c r="K294" i="17"/>
  <c r="L294" i="17"/>
  <c r="M294" i="17" s="1"/>
  <c r="I295" i="17"/>
  <c r="J295" i="17"/>
  <c r="O295" i="17" s="1" a="1"/>
  <c r="O295" i="17" s="1"/>
  <c r="K295" i="17"/>
  <c r="L295" i="17"/>
  <c r="M295" i="17" s="1"/>
  <c r="I296" i="17"/>
  <c r="J296" i="17"/>
  <c r="O296" i="17" s="1" a="1"/>
  <c r="O296" i="17" s="1"/>
  <c r="K296" i="17"/>
  <c r="L296" i="17"/>
  <c r="M296" i="17" s="1"/>
  <c r="I297" i="17"/>
  <c r="J297" i="17"/>
  <c r="O297" i="17" s="1" a="1"/>
  <c r="O297" i="17" s="1"/>
  <c r="K297" i="17"/>
  <c r="L297" i="17"/>
  <c r="I298" i="17"/>
  <c r="J298" i="17"/>
  <c r="O298" i="17" s="1" a="1"/>
  <c r="O298" i="17" s="1"/>
  <c r="K298" i="17"/>
  <c r="L298" i="17"/>
  <c r="I299" i="17"/>
  <c r="J299" i="17"/>
  <c r="O299" i="17" s="1" a="1"/>
  <c r="O299" i="17" s="1"/>
  <c r="K299" i="17"/>
  <c r="L299" i="17"/>
  <c r="M299" i="17" s="1"/>
  <c r="I300" i="17"/>
  <c r="J300" i="17"/>
  <c r="O300" i="17" s="1" a="1"/>
  <c r="O300" i="17" s="1"/>
  <c r="K300" i="17"/>
  <c r="L300" i="17"/>
  <c r="M300" i="17" s="1"/>
  <c r="I301" i="17"/>
  <c r="J301" i="17"/>
  <c r="O301" i="17" s="1" a="1"/>
  <c r="O301" i="17" s="1"/>
  <c r="K301" i="17"/>
  <c r="L301" i="17"/>
  <c r="I302" i="17"/>
  <c r="J302" i="17"/>
  <c r="O302" i="17" s="1" a="1"/>
  <c r="O302" i="17" s="1"/>
  <c r="K302" i="17"/>
  <c r="L302" i="17"/>
  <c r="I303" i="17"/>
  <c r="J303" i="17"/>
  <c r="K303" i="17"/>
  <c r="L303" i="17"/>
  <c r="I304" i="17"/>
  <c r="J304" i="17"/>
  <c r="K304" i="17"/>
  <c r="L304" i="17"/>
  <c r="I305" i="17"/>
  <c r="J305" i="17"/>
  <c r="O305" i="17" s="1" a="1"/>
  <c r="O305" i="17" s="1"/>
  <c r="K305" i="17"/>
  <c r="L305" i="17"/>
  <c r="M305" i="17" s="1"/>
  <c r="I306" i="17"/>
  <c r="J306" i="17"/>
  <c r="K306" i="17"/>
  <c r="L306" i="17"/>
  <c r="M306" i="17" s="1"/>
  <c r="I307" i="17"/>
  <c r="J307" i="17"/>
  <c r="O307" i="17" s="1" a="1"/>
  <c r="K307" i="17"/>
  <c r="L307" i="17"/>
  <c r="I308" i="17"/>
  <c r="J308" i="17"/>
  <c r="O308" i="17" s="1" a="1"/>
  <c r="O308" i="17" s="1"/>
  <c r="K308" i="17"/>
  <c r="L308" i="17"/>
  <c r="M308" i="17" s="1"/>
  <c r="I309" i="17"/>
  <c r="J309" i="17"/>
  <c r="O309" i="17" s="1" a="1"/>
  <c r="O309" i="17" s="1"/>
  <c r="K309" i="17"/>
  <c r="L309" i="17"/>
  <c r="M309" i="17" s="1"/>
  <c r="I310" i="17"/>
  <c r="J310" i="17"/>
  <c r="O310" i="17" s="1" a="1"/>
  <c r="O310" i="17" s="1"/>
  <c r="K310" i="17"/>
  <c r="L310" i="17"/>
  <c r="M310" i="17" s="1"/>
  <c r="I311" i="17"/>
  <c r="J311" i="17"/>
  <c r="K311" i="17"/>
  <c r="L311" i="17"/>
  <c r="M311" i="17" s="1"/>
  <c r="I312" i="17"/>
  <c r="J312" i="17"/>
  <c r="K312" i="17"/>
  <c r="L312" i="17"/>
  <c r="M312" i="17" s="1"/>
  <c r="I313" i="17"/>
  <c r="J313" i="17"/>
  <c r="O313" i="17" s="1" a="1"/>
  <c r="O313" i="17" s="1"/>
  <c r="K313" i="17"/>
  <c r="L313" i="17"/>
  <c r="M313" i="17" s="1"/>
  <c r="I314" i="17"/>
  <c r="J314" i="17"/>
  <c r="O314" i="17" s="1" a="1"/>
  <c r="O314" i="17" s="1"/>
  <c r="K314" i="17"/>
  <c r="L314" i="17"/>
  <c r="M314" i="17" s="1"/>
  <c r="I315" i="17"/>
  <c r="J315" i="17"/>
  <c r="K315" i="17"/>
  <c r="L315" i="17"/>
  <c r="M315" i="17" s="1"/>
  <c r="I316" i="17"/>
  <c r="J316" i="17"/>
  <c r="O316" i="17" s="1" a="1"/>
  <c r="O316" i="17" s="1"/>
  <c r="K316" i="17"/>
  <c r="L316" i="17"/>
  <c r="M316" i="17" s="1"/>
  <c r="I317" i="17"/>
  <c r="J317" i="17"/>
  <c r="K317" i="17"/>
  <c r="L317" i="17"/>
  <c r="M317" i="17" s="1"/>
  <c r="I318" i="17"/>
  <c r="J318" i="17"/>
  <c r="K318" i="17"/>
  <c r="L318" i="17"/>
  <c r="M318" i="17" s="1"/>
  <c r="I319" i="17"/>
  <c r="J319" i="17"/>
  <c r="K319" i="17"/>
  <c r="L319" i="17"/>
  <c r="M319" i="17" s="1"/>
  <c r="I320" i="17"/>
  <c r="J320" i="17"/>
  <c r="O320" i="17" s="1" a="1"/>
  <c r="O320" i="17" s="1"/>
  <c r="K320" i="17"/>
  <c r="L320" i="17"/>
  <c r="M320" i="17" s="1"/>
  <c r="I321" i="17"/>
  <c r="J321" i="17"/>
  <c r="O321" i="17" s="1" a="1"/>
  <c r="O321" i="17" s="1"/>
  <c r="K321" i="17"/>
  <c r="L321" i="17"/>
  <c r="M321" i="17" s="1"/>
  <c r="I322" i="17"/>
  <c r="J322" i="17"/>
  <c r="O322" i="17" s="1" a="1"/>
  <c r="O322" i="17" s="1"/>
  <c r="K322" i="17"/>
  <c r="L322" i="17"/>
  <c r="M322" i="17" s="1"/>
  <c r="I323" i="17"/>
  <c r="J323" i="17"/>
  <c r="O323" i="17" s="1" a="1"/>
  <c r="O323" i="17" s="1"/>
  <c r="K323" i="17"/>
  <c r="L323" i="17"/>
  <c r="M323" i="17" s="1"/>
  <c r="I324" i="17"/>
  <c r="J324" i="17"/>
  <c r="O324" i="17" s="1" a="1"/>
  <c r="O324" i="17" s="1"/>
  <c r="K324" i="17"/>
  <c r="L324" i="17"/>
  <c r="M324" i="17" s="1"/>
  <c r="I325" i="17"/>
  <c r="J325" i="17"/>
  <c r="O325" i="17" s="1" a="1"/>
  <c r="O325" i="17" s="1"/>
  <c r="K325" i="17"/>
  <c r="L325" i="17"/>
  <c r="M325" i="17" s="1"/>
  <c r="I326" i="17"/>
  <c r="J326" i="17"/>
  <c r="O326" i="17" s="1" a="1"/>
  <c r="O326" i="17" s="1"/>
  <c r="K326" i="17"/>
  <c r="L326" i="17"/>
  <c r="I327" i="17"/>
  <c r="J327" i="17"/>
  <c r="O327" i="17" s="1" a="1"/>
  <c r="O327" i="17" s="1"/>
  <c r="K327" i="17"/>
  <c r="L327" i="17"/>
  <c r="I328" i="17"/>
  <c r="J328" i="17"/>
  <c r="K328" i="17"/>
  <c r="L328" i="17"/>
  <c r="I329" i="17"/>
  <c r="J329" i="17"/>
  <c r="O329" i="17" s="1" a="1"/>
  <c r="O329" i="17" s="1"/>
  <c r="K329" i="17"/>
  <c r="L329" i="17"/>
  <c r="M329" i="17" s="1"/>
  <c r="I330" i="17"/>
  <c r="J330" i="17"/>
  <c r="O330" i="17" s="1" a="1"/>
  <c r="K330" i="17"/>
  <c r="L330" i="17"/>
  <c r="M330" i="17" s="1"/>
  <c r="I331" i="17"/>
  <c r="J331" i="17"/>
  <c r="O331" i="17" s="1" a="1"/>
  <c r="O331" i="17" s="1"/>
  <c r="K331" i="17"/>
  <c r="L331" i="17"/>
  <c r="I332" i="17"/>
  <c r="J332" i="17"/>
  <c r="O332" i="17" s="1" a="1"/>
  <c r="O332" i="17" s="1"/>
  <c r="K332" i="17"/>
  <c r="L332" i="17"/>
  <c r="I333" i="17"/>
  <c r="J333" i="17"/>
  <c r="O333" i="17" s="1" a="1"/>
  <c r="O333" i="17" s="1"/>
  <c r="K333" i="17"/>
  <c r="L333" i="17"/>
  <c r="I334" i="17"/>
  <c r="J334" i="17"/>
  <c r="O334" i="17" s="1" a="1"/>
  <c r="O334" i="17" s="1"/>
  <c r="K334" i="17"/>
  <c r="L334" i="17"/>
  <c r="M334" i="17" s="1"/>
  <c r="I335" i="17"/>
  <c r="J335" i="17"/>
  <c r="O335" i="17" s="1" a="1"/>
  <c r="O335" i="17" s="1"/>
  <c r="K335" i="17"/>
  <c r="L335" i="17"/>
  <c r="M335" i="17" s="1"/>
  <c r="I336" i="17"/>
  <c r="J336" i="17"/>
  <c r="O336" i="17" s="1" a="1"/>
  <c r="K336" i="17"/>
  <c r="L336" i="17"/>
  <c r="M336" i="17" s="1"/>
  <c r="I337" i="17"/>
  <c r="J337" i="17"/>
  <c r="O337" i="17" s="1" a="1"/>
  <c r="K337" i="17"/>
  <c r="L337" i="17"/>
  <c r="I338" i="17"/>
  <c r="J338" i="17"/>
  <c r="O338" i="17" s="1" a="1"/>
  <c r="O338" i="17" s="1"/>
  <c r="K338" i="17"/>
  <c r="L338" i="17"/>
  <c r="M338" i="17" s="1"/>
  <c r="I339" i="17"/>
  <c r="J339" i="17"/>
  <c r="K339" i="17"/>
  <c r="L339" i="17"/>
  <c r="I340" i="17"/>
  <c r="J340" i="17"/>
  <c r="K340" i="17"/>
  <c r="L340" i="17"/>
  <c r="M340" i="17" s="1"/>
  <c r="I341" i="17"/>
  <c r="J341" i="17"/>
  <c r="O341" i="17" s="1" a="1"/>
  <c r="O341" i="17" s="1"/>
  <c r="K341" i="17"/>
  <c r="L341" i="17"/>
  <c r="M341" i="17" s="1"/>
  <c r="I342" i="17"/>
  <c r="J342" i="17"/>
  <c r="K342" i="17"/>
  <c r="L342" i="17"/>
  <c r="M342" i="17" s="1"/>
  <c r="I343" i="17"/>
  <c r="J343" i="17"/>
  <c r="K343" i="17"/>
  <c r="L343" i="17"/>
  <c r="M343" i="17" s="1"/>
  <c r="I344" i="17"/>
  <c r="J344" i="17"/>
  <c r="O344" i="17" s="1" a="1"/>
  <c r="O344" i="17" s="1"/>
  <c r="K344" i="17"/>
  <c r="L344" i="17"/>
  <c r="M344" i="17" s="1"/>
  <c r="I345" i="17"/>
  <c r="J345" i="17"/>
  <c r="O345" i="17" s="1" a="1"/>
  <c r="O345" i="17" s="1"/>
  <c r="K345" i="17"/>
  <c r="L345" i="17"/>
  <c r="M345" i="17" s="1"/>
  <c r="I346" i="17"/>
  <c r="J346" i="17"/>
  <c r="O346" i="17" s="1" a="1"/>
  <c r="O346" i="17" s="1"/>
  <c r="K346" i="17"/>
  <c r="L346" i="17"/>
  <c r="M346" i="17" s="1"/>
  <c r="I347" i="17"/>
  <c r="J347" i="17"/>
  <c r="O347" i="17" s="1" a="1"/>
  <c r="O347" i="17" s="1"/>
  <c r="K347" i="17"/>
  <c r="L347" i="17"/>
  <c r="M347" i="17" s="1"/>
  <c r="I348" i="17"/>
  <c r="J348" i="17"/>
  <c r="O348" i="17" s="1" a="1"/>
  <c r="O348" i="17" s="1"/>
  <c r="K348" i="17"/>
  <c r="L348" i="17"/>
  <c r="M348" i="17" s="1"/>
  <c r="I349" i="17"/>
  <c r="J349" i="17"/>
  <c r="O349" i="17" s="1" a="1"/>
  <c r="O349" i="17" s="1"/>
  <c r="K349" i="17"/>
  <c r="L349" i="17"/>
  <c r="M349" i="17" s="1"/>
  <c r="I350" i="17"/>
  <c r="J350" i="17"/>
  <c r="O350" i="17" s="1" a="1"/>
  <c r="O350" i="17" s="1"/>
  <c r="K350" i="17"/>
  <c r="L350" i="17"/>
  <c r="M350" i="17" s="1"/>
  <c r="I351" i="17"/>
  <c r="J351" i="17"/>
  <c r="O351" i="17" s="1" a="1"/>
  <c r="O351" i="17" s="1"/>
  <c r="K351" i="17"/>
  <c r="L351" i="17"/>
  <c r="M351" i="17" s="1"/>
  <c r="I352" i="17"/>
  <c r="J352" i="17"/>
  <c r="O352" i="17" s="1" a="1"/>
  <c r="O352" i="17" s="1"/>
  <c r="K352" i="17"/>
  <c r="L352" i="17"/>
  <c r="M352" i="17" s="1"/>
  <c r="I353" i="17"/>
  <c r="J353" i="17"/>
  <c r="O353" i="17" s="1" a="1"/>
  <c r="O353" i="17" s="1"/>
  <c r="K353" i="17"/>
  <c r="L353" i="17"/>
  <c r="M353" i="17" s="1"/>
  <c r="I354" i="17"/>
  <c r="J354" i="17"/>
  <c r="O354" i="17" s="1" a="1"/>
  <c r="K354" i="17"/>
  <c r="L354" i="17"/>
  <c r="M354" i="17" s="1"/>
  <c r="I355" i="17"/>
  <c r="J355" i="17"/>
  <c r="K355" i="17"/>
  <c r="L355" i="17"/>
  <c r="M355" i="17" s="1"/>
  <c r="I356" i="17"/>
  <c r="J356" i="17"/>
  <c r="O356" i="17" s="1" a="1"/>
  <c r="O356" i="17" s="1"/>
  <c r="K356" i="17"/>
  <c r="L356" i="17"/>
  <c r="I357" i="17"/>
  <c r="J357" i="17"/>
  <c r="O357" i="17" s="1" a="1"/>
  <c r="O357" i="17" s="1"/>
  <c r="K357" i="17"/>
  <c r="L357" i="17"/>
  <c r="I358" i="17"/>
  <c r="J358" i="17"/>
  <c r="K358" i="17"/>
  <c r="L358" i="17"/>
  <c r="M358" i="17" s="1"/>
  <c r="I359" i="17"/>
  <c r="J359" i="17"/>
  <c r="O359" i="17" s="1" a="1"/>
  <c r="O359" i="17" s="1"/>
  <c r="K359" i="17"/>
  <c r="L359" i="17"/>
  <c r="M359" i="17" s="1"/>
  <c r="I360" i="17"/>
  <c r="J360" i="17"/>
  <c r="K360" i="17"/>
  <c r="L360" i="17"/>
  <c r="M360" i="17" s="1"/>
  <c r="I361" i="17"/>
  <c r="J361" i="17"/>
  <c r="K361" i="17"/>
  <c r="L361" i="17"/>
  <c r="M361" i="17" s="1"/>
  <c r="I362" i="17"/>
  <c r="J362" i="17"/>
  <c r="K362" i="17"/>
  <c r="L362" i="17"/>
  <c r="I363" i="17"/>
  <c r="J363" i="17"/>
  <c r="O363" i="17" s="1" a="1"/>
  <c r="O363" i="17" s="1"/>
  <c r="K363" i="17"/>
  <c r="L363" i="17"/>
  <c r="I364" i="17"/>
  <c r="J364" i="17"/>
  <c r="O364" i="17" s="1" a="1"/>
  <c r="O364" i="17" s="1"/>
  <c r="K364" i="17"/>
  <c r="L364" i="17"/>
  <c r="I365" i="17"/>
  <c r="J365" i="17"/>
  <c r="K365" i="17"/>
  <c r="L365" i="17"/>
  <c r="M365" i="17" s="1"/>
  <c r="I366" i="17"/>
  <c r="J366" i="17"/>
  <c r="K366" i="17"/>
  <c r="L366" i="17"/>
  <c r="M366" i="17" s="1"/>
  <c r="I367" i="17"/>
  <c r="J367" i="17"/>
  <c r="O367" i="17" s="1" a="1"/>
  <c r="O367" i="17" s="1"/>
  <c r="K367" i="17"/>
  <c r="L367" i="17"/>
  <c r="I368" i="17"/>
  <c r="J368" i="17"/>
  <c r="O368" i="17" s="1" a="1"/>
  <c r="O368" i="17" s="1"/>
  <c r="K368" i="17"/>
  <c r="L368" i="17"/>
  <c r="M368" i="17" s="1"/>
  <c r="I369" i="17"/>
  <c r="J369" i="17"/>
  <c r="O369" i="17" s="1" a="1"/>
  <c r="O369" i="17" s="1"/>
  <c r="K369" i="17"/>
  <c r="L369" i="17"/>
  <c r="I370" i="17"/>
  <c r="J370" i="17"/>
  <c r="O370" i="17" s="1" a="1"/>
  <c r="O370" i="17" s="1"/>
  <c r="K370" i="17"/>
  <c r="L370" i="17"/>
  <c r="I371" i="17"/>
  <c r="J371" i="17"/>
  <c r="O371" i="17" s="1" a="1"/>
  <c r="O371" i="17" s="1"/>
  <c r="K371" i="17"/>
  <c r="L371" i="17"/>
  <c r="M371" i="17" s="1"/>
  <c r="I372" i="17"/>
  <c r="J372" i="17"/>
  <c r="O372" i="17" s="1" a="1"/>
  <c r="O372" i="17" s="1"/>
  <c r="K372" i="17"/>
  <c r="L372" i="17"/>
  <c r="M372" i="17" s="1"/>
  <c r="I373" i="17"/>
  <c r="J373" i="17"/>
  <c r="O373" i="17" s="1" a="1"/>
  <c r="O373" i="17" s="1"/>
  <c r="K373" i="17"/>
  <c r="L373" i="17"/>
  <c r="M373" i="17" s="1"/>
  <c r="I374" i="17"/>
  <c r="J374" i="17"/>
  <c r="O374" i="17" s="1" a="1"/>
  <c r="O374" i="17" s="1"/>
  <c r="K374" i="17"/>
  <c r="L374" i="17"/>
  <c r="M374" i="17" s="1"/>
  <c r="I375" i="17"/>
  <c r="J375" i="17"/>
  <c r="O375" i="17" s="1" a="1"/>
  <c r="O375" i="17" s="1"/>
  <c r="K375" i="17"/>
  <c r="L375" i="17"/>
  <c r="M375" i="17" s="1"/>
  <c r="I376" i="17"/>
  <c r="J376" i="17"/>
  <c r="K376" i="17"/>
  <c r="L376" i="17"/>
  <c r="M376" i="17" s="1"/>
  <c r="I377" i="17"/>
  <c r="J377" i="17"/>
  <c r="K377" i="17"/>
  <c r="L377" i="17"/>
  <c r="M377" i="17" s="1"/>
  <c r="I378" i="17"/>
  <c r="J378" i="17"/>
  <c r="O378" i="17" s="1" a="1"/>
  <c r="O378" i="17" s="1"/>
  <c r="K378" i="17"/>
  <c r="L378" i="17"/>
  <c r="M378" i="17" s="1"/>
  <c r="I379" i="17"/>
  <c r="J379" i="17"/>
  <c r="K379" i="17"/>
  <c r="L379" i="17"/>
  <c r="M379" i="17" s="1"/>
  <c r="I380" i="17"/>
  <c r="J380" i="17"/>
  <c r="O380" i="17" s="1" a="1"/>
  <c r="O380" i="17" s="1"/>
  <c r="K380" i="17"/>
  <c r="L380" i="17"/>
  <c r="M380" i="17" s="1"/>
  <c r="I381" i="17"/>
  <c r="J381" i="17"/>
  <c r="O381" i="17" s="1" a="1"/>
  <c r="O381" i="17" s="1"/>
  <c r="K381" i="17"/>
  <c r="L381" i="17"/>
  <c r="M381" i="17" s="1"/>
  <c r="I382" i="17"/>
  <c r="J382" i="17"/>
  <c r="O382" i="17" s="1" a="1"/>
  <c r="O382" i="17" s="1"/>
  <c r="K382" i="17"/>
  <c r="L382" i="17"/>
  <c r="M382" i="17" s="1"/>
  <c r="I383" i="17"/>
  <c r="J383" i="17"/>
  <c r="K383" i="17"/>
  <c r="L383" i="17"/>
  <c r="I384" i="17"/>
  <c r="J384" i="17"/>
  <c r="O384" i="17" s="1" a="1"/>
  <c r="K384" i="17"/>
  <c r="L384" i="17"/>
  <c r="M384" i="17" s="1"/>
  <c r="I385" i="17"/>
  <c r="J385" i="17"/>
  <c r="K385" i="17"/>
  <c r="L385" i="17"/>
  <c r="M385" i="17" s="1"/>
  <c r="I386" i="17"/>
  <c r="J386" i="17"/>
  <c r="K386" i="17"/>
  <c r="L386" i="17"/>
  <c r="I387" i="17"/>
  <c r="J387" i="17"/>
  <c r="K387" i="17"/>
  <c r="L387" i="17"/>
  <c r="I388" i="17"/>
  <c r="J388" i="17"/>
  <c r="K388" i="17"/>
  <c r="L388" i="17"/>
  <c r="I389" i="17"/>
  <c r="J389" i="17"/>
  <c r="K389" i="17"/>
  <c r="L389" i="17"/>
  <c r="M389" i="17" s="1"/>
  <c r="I390" i="17"/>
  <c r="J390" i="17"/>
  <c r="K390" i="17"/>
  <c r="L390" i="17"/>
  <c r="I391" i="17"/>
  <c r="J391" i="17"/>
  <c r="O391" i="17" s="1" a="1"/>
  <c r="O391" i="17" s="1"/>
  <c r="K391" i="17"/>
  <c r="L391" i="17"/>
  <c r="I392" i="17"/>
  <c r="J392" i="17"/>
  <c r="O392" i="17" s="1" a="1"/>
  <c r="O392" i="17" s="1"/>
  <c r="K392" i="17"/>
  <c r="L392" i="17"/>
  <c r="M392" i="17" s="1"/>
  <c r="I393" i="17"/>
  <c r="J393" i="17"/>
  <c r="O393" i="17" s="1" a="1"/>
  <c r="O393" i="17" s="1"/>
  <c r="K393" i="17"/>
  <c r="L393" i="17"/>
  <c r="M393" i="17" s="1"/>
  <c r="I394" i="17"/>
  <c r="J394" i="17"/>
  <c r="O394" i="17" s="1" a="1"/>
  <c r="O394" i="17" s="1"/>
  <c r="K394" i="17"/>
  <c r="L394" i="17"/>
  <c r="I395" i="17"/>
  <c r="J395" i="17"/>
  <c r="O395" i="17" s="1" a="1"/>
  <c r="O395" i="17" s="1"/>
  <c r="K395" i="17"/>
  <c r="L395" i="17"/>
  <c r="M395" i="17" s="1"/>
  <c r="I396" i="17"/>
  <c r="J396" i="17"/>
  <c r="O396" i="17" s="1" a="1"/>
  <c r="O396" i="17" s="1"/>
  <c r="K396" i="17"/>
  <c r="L396" i="17"/>
  <c r="M396" i="17" s="1"/>
  <c r="I397" i="17"/>
  <c r="J397" i="17"/>
  <c r="O397" i="17" s="1" a="1"/>
  <c r="O397" i="17" s="1"/>
  <c r="K397" i="17"/>
  <c r="L397" i="17"/>
  <c r="M397" i="17" s="1"/>
  <c r="I398" i="17"/>
  <c r="J398" i="17"/>
  <c r="O398" i="17" s="1" a="1"/>
  <c r="O398" i="17" s="1"/>
  <c r="K398" i="17"/>
  <c r="L398" i="17"/>
  <c r="M398" i="17" s="1"/>
  <c r="I399" i="17"/>
  <c r="J399" i="17"/>
  <c r="O399" i="17" s="1" a="1"/>
  <c r="O399" i="17" s="1"/>
  <c r="K399" i="17"/>
  <c r="L399" i="17"/>
  <c r="M399" i="17" s="1"/>
  <c r="I400" i="17"/>
  <c r="J400" i="17"/>
  <c r="O400" i="17" s="1" a="1"/>
  <c r="O400" i="17" s="1"/>
  <c r="K400" i="17"/>
  <c r="L400" i="17"/>
  <c r="M400" i="17" s="1"/>
  <c r="I401" i="17"/>
  <c r="J401" i="17"/>
  <c r="O401" i="17" s="1" a="1"/>
  <c r="O401" i="17" s="1"/>
  <c r="K401" i="17"/>
  <c r="L401" i="17"/>
  <c r="M401" i="17" s="1"/>
  <c r="I402" i="17"/>
  <c r="J402" i="17"/>
  <c r="K402" i="17"/>
  <c r="L402" i="17"/>
  <c r="M402" i="17" s="1"/>
  <c r="I403" i="17"/>
  <c r="J403" i="17"/>
  <c r="K403" i="17"/>
  <c r="L403" i="17"/>
  <c r="M403" i="17" s="1"/>
  <c r="I404" i="17"/>
  <c r="J404" i="17"/>
  <c r="O404" i="17" s="1" a="1"/>
  <c r="O404" i="17" s="1"/>
  <c r="K404" i="17"/>
  <c r="L404" i="17"/>
  <c r="M404" i="17" s="1"/>
  <c r="I405" i="17"/>
  <c r="J405" i="17"/>
  <c r="K405" i="17"/>
  <c r="L405" i="17"/>
  <c r="M405" i="17" s="1"/>
  <c r="I406" i="17"/>
  <c r="J406" i="17"/>
  <c r="O406" i="17" s="1" a="1"/>
  <c r="K406" i="17"/>
  <c r="L406" i="17"/>
  <c r="M406" i="17" s="1"/>
  <c r="I407" i="17"/>
  <c r="J407" i="17"/>
  <c r="K407" i="17"/>
  <c r="L407" i="17"/>
  <c r="M407" i="17" s="1"/>
  <c r="I408" i="17"/>
  <c r="J408" i="17"/>
  <c r="K408" i="17"/>
  <c r="L408" i="17"/>
  <c r="M408" i="17" s="1"/>
  <c r="I409" i="17"/>
  <c r="J409" i="17"/>
  <c r="O409" i="17" s="1" a="1"/>
  <c r="K409" i="17"/>
  <c r="L409" i="17"/>
  <c r="M409" i="17" s="1"/>
  <c r="I410" i="17"/>
  <c r="J410" i="17"/>
  <c r="O410" i="17" s="1" a="1"/>
  <c r="O410" i="17" s="1"/>
  <c r="K410" i="17"/>
  <c r="L410" i="17"/>
  <c r="M410" i="17" s="1"/>
  <c r="I411" i="17"/>
  <c r="J411" i="17"/>
  <c r="O411" i="17" s="1" a="1"/>
  <c r="O411" i="17" s="1"/>
  <c r="K411" i="17"/>
  <c r="L411" i="17"/>
  <c r="I412" i="17"/>
  <c r="J412" i="17"/>
  <c r="K412" i="17"/>
  <c r="L412" i="17"/>
  <c r="I413" i="17"/>
  <c r="J413" i="17"/>
  <c r="K413" i="17"/>
  <c r="L413" i="17"/>
  <c r="M413" i="17" s="1"/>
  <c r="I414" i="17"/>
  <c r="J414" i="17"/>
  <c r="O414" i="17" s="1" a="1"/>
  <c r="O414" i="17" s="1"/>
  <c r="K414" i="17"/>
  <c r="L414" i="17"/>
  <c r="M414" i="17" s="1"/>
  <c r="I415" i="17"/>
  <c r="J415" i="17"/>
  <c r="O415" i="17" s="1" a="1"/>
  <c r="O415" i="17" s="1"/>
  <c r="K415" i="17"/>
  <c r="L415" i="17"/>
  <c r="I416" i="17"/>
  <c r="J416" i="17"/>
  <c r="O416" i="17" s="1" a="1"/>
  <c r="O416" i="17" s="1"/>
  <c r="K416" i="17"/>
  <c r="L416" i="17"/>
  <c r="I417" i="17"/>
  <c r="J417" i="17"/>
  <c r="O417" i="17" s="1" a="1"/>
  <c r="O417" i="17" s="1"/>
  <c r="K417" i="17"/>
  <c r="L417" i="17"/>
  <c r="M417" i="17" s="1"/>
  <c r="I418" i="17"/>
  <c r="J418" i="17"/>
  <c r="O418" i="17" s="1" a="1"/>
  <c r="O418" i="17" s="1"/>
  <c r="K418" i="17"/>
  <c r="L418" i="17"/>
  <c r="M418" i="17" s="1"/>
  <c r="I419" i="17"/>
  <c r="J419" i="17"/>
  <c r="O419" i="17" s="1" a="1"/>
  <c r="O419" i="17" s="1"/>
  <c r="K419" i="17"/>
  <c r="L419" i="17"/>
  <c r="M419" i="17" s="1"/>
  <c r="I420" i="17"/>
  <c r="J420" i="17"/>
  <c r="O420" i="17" s="1" a="1"/>
  <c r="O420" i="17" s="1"/>
  <c r="K420" i="17"/>
  <c r="L420" i="17"/>
  <c r="M420" i="17" s="1"/>
  <c r="I421" i="17"/>
  <c r="J421" i="17"/>
  <c r="O421" i="17" s="1" a="1"/>
  <c r="O421" i="17" s="1"/>
  <c r="K421" i="17"/>
  <c r="L421" i="17"/>
  <c r="I422" i="17"/>
  <c r="J422" i="17"/>
  <c r="O422" i="17" s="1" a="1"/>
  <c r="O422" i="17" s="1"/>
  <c r="K422" i="17"/>
  <c r="L422" i="17"/>
  <c r="I423" i="17"/>
  <c r="J423" i="17"/>
  <c r="O423" i="17" s="1" a="1"/>
  <c r="O423" i="17" s="1"/>
  <c r="K423" i="17"/>
  <c r="L423" i="17"/>
  <c r="I424" i="17"/>
  <c r="J424" i="17"/>
  <c r="K424" i="17"/>
  <c r="L424" i="17"/>
  <c r="M424" i="17" s="1"/>
  <c r="I425" i="17"/>
  <c r="J425" i="17"/>
  <c r="O425" i="17" s="1" a="1"/>
  <c r="O425" i="17" s="1"/>
  <c r="K425" i="17"/>
  <c r="L425" i="17"/>
  <c r="M425" i="17" s="1"/>
  <c r="I426" i="17"/>
  <c r="J426" i="17"/>
  <c r="O426" i="17" s="1" a="1"/>
  <c r="O426" i="17" s="1"/>
  <c r="K426" i="17"/>
  <c r="L426" i="17"/>
  <c r="M426" i="17" s="1"/>
  <c r="I427" i="17"/>
  <c r="J427" i="17"/>
  <c r="K427" i="17"/>
  <c r="L427" i="17"/>
  <c r="I428" i="17"/>
  <c r="J428" i="17"/>
  <c r="K428" i="17"/>
  <c r="L428" i="17"/>
  <c r="I429" i="17"/>
  <c r="J429" i="17"/>
  <c r="O429" i="17" s="1" a="1"/>
  <c r="O429" i="17" s="1"/>
  <c r="K429" i="17"/>
  <c r="L429" i="17"/>
  <c r="I430" i="17"/>
  <c r="J430" i="17"/>
  <c r="K430" i="17"/>
  <c r="L430" i="17"/>
  <c r="M430" i="17" s="1"/>
  <c r="I431" i="17"/>
  <c r="J431" i="17"/>
  <c r="O431" i="17" s="1" a="1"/>
  <c r="K431" i="17"/>
  <c r="L431" i="17"/>
  <c r="M431" i="17" s="1"/>
  <c r="I432" i="17"/>
  <c r="J432" i="17"/>
  <c r="K432" i="17"/>
  <c r="L432" i="17"/>
  <c r="M432" i="17" s="1"/>
  <c r="I433" i="17"/>
  <c r="J433" i="17"/>
  <c r="K433" i="17"/>
  <c r="L433" i="17"/>
  <c r="M433" i="17" s="1"/>
  <c r="I434" i="17"/>
  <c r="J434" i="17"/>
  <c r="O434" i="17" s="1" a="1"/>
  <c r="O434" i="17" s="1"/>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O439" i="17" s="1" a="1"/>
  <c r="O439" i="17" s="1"/>
  <c r="K439" i="17"/>
  <c r="L439" i="17"/>
  <c r="I440" i="17"/>
  <c r="J440" i="17"/>
  <c r="O440" i="17" s="1" a="1"/>
  <c r="O440" i="17" s="1"/>
  <c r="K440" i="17"/>
  <c r="L440" i="17"/>
  <c r="I441" i="17"/>
  <c r="J441" i="17"/>
  <c r="O441" i="17" s="1" a="1"/>
  <c r="O441" i="17" s="1"/>
  <c r="K441" i="17"/>
  <c r="L441" i="17"/>
  <c r="M441" i="17" s="1"/>
  <c r="I442" i="17"/>
  <c r="J442" i="17"/>
  <c r="O442" i="17" s="1" a="1"/>
  <c r="O442" i="17" s="1"/>
  <c r="K442" i="17"/>
  <c r="L442" i="17"/>
  <c r="I443" i="17"/>
  <c r="J443" i="17"/>
  <c r="O443" i="17" s="1" a="1"/>
  <c r="O443" i="17" s="1"/>
  <c r="K443" i="17"/>
  <c r="L443" i="17"/>
  <c r="M443" i="17" s="1"/>
  <c r="I444" i="17"/>
  <c r="J444" i="17"/>
  <c r="O444" i="17" s="1" a="1"/>
  <c r="O444" i="17" s="1"/>
  <c r="K444" i="17"/>
  <c r="L444" i="17"/>
  <c r="M444" i="17" s="1"/>
  <c r="I445" i="17"/>
  <c r="J445" i="17"/>
  <c r="O445" i="17" s="1" a="1"/>
  <c r="O445" i="17" s="1"/>
  <c r="K445" i="17"/>
  <c r="L445" i="17"/>
  <c r="I446" i="17"/>
  <c r="J446" i="17"/>
  <c r="O446" i="17" s="1" a="1"/>
  <c r="O446" i="17" s="1"/>
  <c r="K446" i="17"/>
  <c r="L446" i="17"/>
  <c r="I447" i="17"/>
  <c r="J447" i="17"/>
  <c r="K447" i="17"/>
  <c r="L447" i="17"/>
  <c r="M447" i="17" s="1"/>
  <c r="I448" i="17"/>
  <c r="J448" i="17"/>
  <c r="O448" i="17" s="1" a="1"/>
  <c r="O448" i="17" s="1"/>
  <c r="K448" i="17"/>
  <c r="L448" i="17"/>
  <c r="I449" i="17"/>
  <c r="J449" i="17"/>
  <c r="O449" i="17" s="1" a="1"/>
  <c r="O449" i="17" s="1"/>
  <c r="K449" i="17"/>
  <c r="L449" i="17"/>
  <c r="M449" i="17" s="1"/>
  <c r="I450" i="17"/>
  <c r="J450" i="17"/>
  <c r="O450" i="17" s="1" a="1"/>
  <c r="K450" i="17"/>
  <c r="L450" i="17"/>
  <c r="M450" i="17" s="1"/>
  <c r="I451" i="17"/>
  <c r="J451" i="17"/>
  <c r="O451" i="17" s="1" a="1"/>
  <c r="K451" i="17"/>
  <c r="L451" i="17"/>
  <c r="M451" i="17" s="1"/>
  <c r="I452" i="17"/>
  <c r="J452" i="17"/>
  <c r="K452" i="17"/>
  <c r="L452" i="17"/>
  <c r="M452" i="17" s="1"/>
  <c r="I453" i="17"/>
  <c r="J453" i="17"/>
  <c r="O453" i="17" s="1" a="1"/>
  <c r="O453" i="17" s="1"/>
  <c r="K453" i="17"/>
  <c r="L453" i="17"/>
  <c r="I454" i="17"/>
  <c r="J454" i="17"/>
  <c r="O454" i="17" s="1" a="1"/>
  <c r="O454" i="17" s="1"/>
  <c r="K454" i="17"/>
  <c r="L454" i="17"/>
  <c r="I455" i="17"/>
  <c r="J455" i="17"/>
  <c r="O455" i="17" s="1" a="1"/>
  <c r="O455" i="17" s="1"/>
  <c r="K455" i="17"/>
  <c r="L455" i="17"/>
  <c r="M455" i="17" s="1"/>
  <c r="I456" i="17"/>
  <c r="J456" i="17"/>
  <c r="K456" i="17"/>
  <c r="L456" i="17"/>
  <c r="M456" i="17" s="1"/>
  <c r="I457" i="17"/>
  <c r="J457" i="17"/>
  <c r="K457" i="17"/>
  <c r="L457" i="17"/>
  <c r="M457" i="17" s="1"/>
  <c r="I458" i="17"/>
  <c r="J458" i="17"/>
  <c r="O458" i="17" s="1" a="1"/>
  <c r="O458" i="17" s="1"/>
  <c r="K458" i="17"/>
  <c r="L458" i="17"/>
  <c r="M458" i="17" s="1"/>
  <c r="I459" i="17"/>
  <c r="J459" i="17"/>
  <c r="O459" i="17" s="1" a="1"/>
  <c r="O459" i="17" s="1"/>
  <c r="K459" i="17"/>
  <c r="L459" i="17"/>
  <c r="M459" i="17" s="1"/>
  <c r="I460" i="17"/>
  <c r="J460" i="17"/>
  <c r="K460" i="17"/>
  <c r="L460" i="17"/>
  <c r="M460" i="17" s="1"/>
  <c r="I461" i="17"/>
  <c r="J461" i="17"/>
  <c r="K461" i="17"/>
  <c r="L461" i="17"/>
  <c r="M461" i="17" s="1"/>
  <c r="I462" i="17"/>
  <c r="J462" i="17"/>
  <c r="O462" i="17" s="1" a="1"/>
  <c r="O462" i="17" s="1"/>
  <c r="K462" i="17"/>
  <c r="L462" i="17"/>
  <c r="M462" i="17" s="1"/>
  <c r="I463" i="17"/>
  <c r="J463" i="17"/>
  <c r="O463" i="17" s="1" a="1"/>
  <c r="O463" i="17" s="1"/>
  <c r="K463" i="17"/>
  <c r="L463" i="17"/>
  <c r="M463" i="17" s="1"/>
  <c r="I464" i="17"/>
  <c r="J464" i="17"/>
  <c r="O464" i="17" s="1" a="1"/>
  <c r="O464" i="17" s="1"/>
  <c r="K464" i="17"/>
  <c r="L464" i="17"/>
  <c r="M464" i="17" s="1"/>
  <c r="I465" i="17"/>
  <c r="J465" i="17"/>
  <c r="O465" i="17" s="1" a="1"/>
  <c r="O465" i="17" s="1"/>
  <c r="K465" i="17"/>
  <c r="L465" i="17"/>
  <c r="M465" i="17" s="1"/>
  <c r="I466" i="17"/>
  <c r="J466" i="17"/>
  <c r="O466" i="17" s="1" a="1"/>
  <c r="O466" i="17" s="1"/>
  <c r="K466" i="17"/>
  <c r="L466" i="17"/>
  <c r="I467" i="17"/>
  <c r="J467" i="17"/>
  <c r="O467" i="17" s="1" a="1"/>
  <c r="O467" i="17" s="1"/>
  <c r="K467" i="17"/>
  <c r="L467" i="17"/>
  <c r="M467" i="17" s="1"/>
  <c r="I468" i="17"/>
  <c r="J468" i="17"/>
  <c r="O468" i="17" s="1" a="1"/>
  <c r="O468" i="17" s="1"/>
  <c r="K468" i="17"/>
  <c r="L468" i="17"/>
  <c r="M468" i="17" s="1"/>
  <c r="I469" i="17"/>
  <c r="J469" i="17"/>
  <c r="O469" i="17" s="1" a="1"/>
  <c r="O469" i="17" s="1"/>
  <c r="K469" i="17"/>
  <c r="L469" i="17"/>
  <c r="M469" i="17" s="1"/>
  <c r="I470" i="17"/>
  <c r="J470" i="17"/>
  <c r="O470" i="17" s="1" a="1"/>
  <c r="O470" i="17" s="1"/>
  <c r="K470" i="17"/>
  <c r="L470" i="17"/>
  <c r="M470" i="17" s="1"/>
  <c r="I471" i="17"/>
  <c r="J471" i="17"/>
  <c r="O471" i="17" s="1" a="1"/>
  <c r="O471" i="17" s="1"/>
  <c r="K471" i="17"/>
  <c r="L471" i="17"/>
  <c r="I472" i="17"/>
  <c r="J472" i="17"/>
  <c r="K472" i="17"/>
  <c r="L472" i="17"/>
  <c r="I473" i="17"/>
  <c r="J473" i="17"/>
  <c r="O473" i="17" s="1" a="1"/>
  <c r="O473" i="17" s="1"/>
  <c r="K473" i="17"/>
  <c r="L473" i="17"/>
  <c r="M473" i="17" s="1"/>
  <c r="I474" i="17"/>
  <c r="J474" i="17"/>
  <c r="O474" i="17" s="1" a="1"/>
  <c r="O474" i="17" s="1"/>
  <c r="K474" i="17"/>
  <c r="L474" i="17"/>
  <c r="M474" i="17" s="1"/>
  <c r="I475" i="17"/>
  <c r="J475" i="17"/>
  <c r="K475" i="17"/>
  <c r="L475" i="17"/>
  <c r="M475" i="17" s="1"/>
  <c r="I476" i="17"/>
  <c r="J476" i="17"/>
  <c r="K476" i="17"/>
  <c r="L476" i="17"/>
  <c r="I477" i="17"/>
  <c r="J477" i="17"/>
  <c r="O477" i="17" s="1" a="1"/>
  <c r="O477" i="17" s="1"/>
  <c r="K477" i="17"/>
  <c r="L477" i="17"/>
  <c r="I478" i="17"/>
  <c r="J478" i="17"/>
  <c r="K478" i="17"/>
  <c r="L478" i="17"/>
  <c r="I479" i="17"/>
  <c r="J479" i="17"/>
  <c r="O479" i="17" s="1" a="1"/>
  <c r="O479" i="17" s="1"/>
  <c r="K479" i="17"/>
  <c r="L479" i="17"/>
  <c r="M479" i="17" s="1"/>
  <c r="I480" i="17"/>
  <c r="J480" i="17"/>
  <c r="K480" i="17"/>
  <c r="L480" i="17"/>
  <c r="M480" i="17" s="1"/>
  <c r="I481" i="17"/>
  <c r="J481" i="17"/>
  <c r="O481" i="17" s="1" a="1"/>
  <c r="O481" i="17" s="1"/>
  <c r="K481" i="17"/>
  <c r="L481" i="17"/>
  <c r="I482" i="17"/>
  <c r="J482" i="17"/>
  <c r="O482" i="17" s="1" a="1"/>
  <c r="O482" i="17" s="1"/>
  <c r="K482" i="17"/>
  <c r="L482" i="17"/>
  <c r="I483" i="17"/>
  <c r="J483" i="17"/>
  <c r="K483" i="17"/>
  <c r="L483" i="17"/>
  <c r="I484" i="17"/>
  <c r="J484" i="17"/>
  <c r="K484" i="17"/>
  <c r="L484" i="17"/>
  <c r="M484" i="17" s="1"/>
  <c r="I485" i="17"/>
  <c r="J485" i="17"/>
  <c r="O485" i="17" s="1" a="1"/>
  <c r="O485" i="17" s="1"/>
  <c r="K485" i="17"/>
  <c r="L485" i="17"/>
  <c r="M485" i="17" s="1"/>
  <c r="I486" i="17"/>
  <c r="J486" i="17"/>
  <c r="K486" i="17"/>
  <c r="L486" i="17"/>
  <c r="M486" i="17" s="1"/>
  <c r="I487" i="17"/>
  <c r="J487" i="17"/>
  <c r="O487" i="17" s="1" a="1"/>
  <c r="O487" i="17" s="1"/>
  <c r="K487" i="17"/>
  <c r="L487" i="17"/>
  <c r="M487" i="17" s="1"/>
  <c r="I488" i="17"/>
  <c r="J488" i="17"/>
  <c r="O488" i="17" s="1" a="1"/>
  <c r="O488" i="17" s="1"/>
  <c r="K488" i="17"/>
  <c r="L488" i="17"/>
  <c r="M488" i="17" s="1"/>
  <c r="I489" i="17"/>
  <c r="J489" i="17"/>
  <c r="O489" i="17" s="1" a="1"/>
  <c r="O489" i="17" s="1"/>
  <c r="K489" i="17"/>
  <c r="L489" i="17"/>
  <c r="M489" i="17" s="1"/>
  <c r="I490" i="17"/>
  <c r="J490" i="17"/>
  <c r="O490" i="17" s="1" a="1"/>
  <c r="O490" i="17" s="1"/>
  <c r="K490" i="17"/>
  <c r="L490" i="17"/>
  <c r="M490" i="17" s="1"/>
  <c r="I491" i="17"/>
  <c r="J491" i="17"/>
  <c r="O491" i="17" s="1" a="1"/>
  <c r="O491" i="17" s="1"/>
  <c r="K491" i="17"/>
  <c r="L491" i="17"/>
  <c r="M491" i="17" s="1"/>
  <c r="I492" i="17"/>
  <c r="J492" i="17"/>
  <c r="O492" i="17" s="1" a="1"/>
  <c r="O492" i="17" s="1"/>
  <c r="K492" i="17"/>
  <c r="L492" i="17"/>
  <c r="M492" i="17" s="1"/>
  <c r="I493" i="17"/>
  <c r="J493" i="17"/>
  <c r="O493" i="17" s="1" a="1"/>
  <c r="O493" i="17" s="1"/>
  <c r="K493" i="17"/>
  <c r="L493" i="17"/>
  <c r="M493" i="17" s="1"/>
  <c r="I494" i="17"/>
  <c r="J494" i="17"/>
  <c r="K494" i="17"/>
  <c r="L494" i="17"/>
  <c r="M494" i="17" s="1"/>
  <c r="I495" i="17"/>
  <c r="J495" i="17"/>
  <c r="O495" i="17" s="1" a="1"/>
  <c r="O495" i="17" s="1"/>
  <c r="K495" i="17"/>
  <c r="L495" i="17"/>
  <c r="I496" i="17"/>
  <c r="J496" i="17"/>
  <c r="O496" i="17" s="1" a="1"/>
  <c r="O496" i="17" s="1"/>
  <c r="K496" i="17"/>
  <c r="L496" i="17"/>
  <c r="I497" i="17"/>
  <c r="J497" i="17"/>
  <c r="O497" i="17" s="1" a="1"/>
  <c r="O497" i="17" s="1"/>
  <c r="K497" i="17"/>
  <c r="L497" i="17"/>
  <c r="M497" i="17" s="1"/>
  <c r="I498" i="17"/>
  <c r="J498" i="17"/>
  <c r="O498" i="17" s="1" a="1"/>
  <c r="O498" i="17" s="1"/>
  <c r="K498" i="17"/>
  <c r="L498" i="17"/>
  <c r="I499" i="17"/>
  <c r="J499" i="17"/>
  <c r="O499" i="17" s="1" a="1"/>
  <c r="O499" i="17" s="1"/>
  <c r="K499" i="17"/>
  <c r="L499" i="17"/>
  <c r="M499" i="17" s="1"/>
  <c r="I500" i="17"/>
  <c r="J500" i="17"/>
  <c r="K500" i="17"/>
  <c r="L500" i="17"/>
  <c r="M500" i="17" s="1"/>
  <c r="I501" i="17"/>
  <c r="J501" i="17"/>
  <c r="K501" i="17"/>
  <c r="L501" i="17"/>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O506" i="17" s="1" a="1"/>
  <c r="O506" i="17" s="1"/>
  <c r="K506" i="17"/>
  <c r="L506" i="17"/>
  <c r="M506" i="17" s="1"/>
  <c r="I507" i="17"/>
  <c r="J507" i="17"/>
  <c r="O507" i="17" s="1" a="1"/>
  <c r="O507" i="17" s="1"/>
  <c r="K507" i="17"/>
  <c r="L507" i="17"/>
  <c r="I508" i="17"/>
  <c r="J508" i="17"/>
  <c r="O508" i="17" s="1" a="1"/>
  <c r="O508" i="17" s="1"/>
  <c r="K508" i="17"/>
  <c r="L508" i="17"/>
  <c r="I509" i="17"/>
  <c r="J509" i="17"/>
  <c r="O509" i="17" s="1" a="1"/>
  <c r="O509" i="17" s="1"/>
  <c r="K509" i="17"/>
  <c r="L509" i="17"/>
  <c r="M509" i="17" s="1"/>
  <c r="I510" i="17"/>
  <c r="J510" i="17"/>
  <c r="O510" i="17" s="1" a="1"/>
  <c r="O510" i="17" s="1"/>
  <c r="K510" i="17"/>
  <c r="L510" i="17"/>
  <c r="M510" i="17" s="1"/>
  <c r="I511" i="17"/>
  <c r="J511" i="17"/>
  <c r="O511" i="17" s="1" a="1"/>
  <c r="O511" i="17" s="1"/>
  <c r="K511" i="17"/>
  <c r="L511" i="17"/>
  <c r="M511" i="17" s="1"/>
  <c r="I512" i="17"/>
  <c r="J512" i="17"/>
  <c r="O512" i="17" s="1" a="1"/>
  <c r="O512" i="17" s="1"/>
  <c r="K512" i="17"/>
  <c r="L512" i="17"/>
  <c r="M512" i="17" s="1"/>
  <c r="I513" i="17"/>
  <c r="J513" i="17"/>
  <c r="O513" i="17" s="1" a="1"/>
  <c r="O513" i="17" s="1"/>
  <c r="K513" i="17"/>
  <c r="L513" i="17"/>
  <c r="M513" i="17" s="1"/>
  <c r="I514" i="17"/>
  <c r="J514" i="17"/>
  <c r="O514" i="17" s="1" a="1"/>
  <c r="O514" i="17" s="1"/>
  <c r="K514" i="17"/>
  <c r="L514" i="17"/>
  <c r="M514" i="17" s="1"/>
  <c r="I515" i="17"/>
  <c r="J515" i="17"/>
  <c r="O515" i="17" s="1" a="1"/>
  <c r="O515" i="17" s="1"/>
  <c r="K515" i="17"/>
  <c r="L515" i="17"/>
  <c r="M515" i="17" s="1"/>
  <c r="I516" i="17"/>
  <c r="J516" i="17"/>
  <c r="O516" i="17" s="1" a="1"/>
  <c r="O516" i="17" s="1"/>
  <c r="K516" i="17"/>
  <c r="L516" i="17"/>
  <c r="M516" i="17" s="1"/>
  <c r="I517" i="17"/>
  <c r="J517" i="17"/>
  <c r="O517" i="17" s="1" a="1"/>
  <c r="O517" i="17" s="1"/>
  <c r="K517" i="17"/>
  <c r="L517" i="17"/>
  <c r="M517" i="17" s="1"/>
  <c r="I518" i="17"/>
  <c r="J518" i="17"/>
  <c r="O518" i="17" s="1" a="1"/>
  <c r="O518" i="17" s="1"/>
  <c r="K518" i="17"/>
  <c r="L518" i="17"/>
  <c r="M518" i="17" s="1"/>
  <c r="I519" i="17"/>
  <c r="J519" i="17"/>
  <c r="K519" i="17"/>
  <c r="L519" i="17"/>
  <c r="M519" i="17" s="1"/>
  <c r="I520" i="17"/>
  <c r="J520" i="17"/>
  <c r="K520" i="17"/>
  <c r="L520" i="17"/>
  <c r="M520" i="17" s="1"/>
  <c r="I521" i="17"/>
  <c r="J521" i="17"/>
  <c r="O521" i="17" s="1" a="1"/>
  <c r="O521" i="17" s="1"/>
  <c r="K521" i="17"/>
  <c r="L521" i="17"/>
  <c r="M521" i="17" s="1"/>
  <c r="I522" i="17"/>
  <c r="J522" i="17"/>
  <c r="K522" i="17"/>
  <c r="L522" i="17"/>
  <c r="M522" i="17" s="1"/>
  <c r="I523" i="17"/>
  <c r="J523" i="17"/>
  <c r="K523" i="17"/>
  <c r="L523" i="17"/>
  <c r="I524" i="17"/>
  <c r="J524" i="17"/>
  <c r="K524" i="17"/>
  <c r="L524" i="17"/>
  <c r="M524" i="17" s="1"/>
  <c r="I525" i="17"/>
  <c r="J525" i="17"/>
  <c r="O525" i="17" s="1" a="1"/>
  <c r="K525" i="17"/>
  <c r="L525" i="17"/>
  <c r="M525" i="17" s="1"/>
  <c r="I526" i="17"/>
  <c r="J526" i="17"/>
  <c r="O526" i="17" s="1" a="1"/>
  <c r="O526" i="17" s="1"/>
  <c r="K526" i="17"/>
  <c r="L526" i="17"/>
  <c r="I527" i="17"/>
  <c r="J527" i="17"/>
  <c r="K527" i="17"/>
  <c r="L527" i="17"/>
  <c r="M527" i="17" s="1"/>
  <c r="I528" i="17"/>
  <c r="J528" i="17"/>
  <c r="O528" i="17" s="1" a="1"/>
  <c r="K528" i="17"/>
  <c r="L528" i="17"/>
  <c r="M528" i="17" s="1"/>
  <c r="I529" i="17"/>
  <c r="J529" i="17"/>
  <c r="O529" i="17" s="1" a="1"/>
  <c r="O529" i="17" s="1"/>
  <c r="K529" i="17"/>
  <c r="L529" i="17"/>
  <c r="M529" i="17" s="1"/>
  <c r="I530" i="17"/>
  <c r="J530" i="17"/>
  <c r="K530" i="17"/>
  <c r="L530" i="17"/>
  <c r="I531" i="17"/>
  <c r="J531" i="17"/>
  <c r="O531" i="17" s="1" a="1"/>
  <c r="O531" i="17" s="1"/>
  <c r="K531" i="17"/>
  <c r="L531" i="17"/>
  <c r="I532" i="17"/>
  <c r="J532" i="17"/>
  <c r="K532" i="17"/>
  <c r="L532" i="17"/>
  <c r="I533" i="17"/>
  <c r="J533" i="17"/>
  <c r="O533" i="17" s="1" a="1"/>
  <c r="O533" i="17" s="1"/>
  <c r="K533" i="17"/>
  <c r="L533" i="17"/>
  <c r="I534" i="17"/>
  <c r="J534" i="17"/>
  <c r="O534" i="17" s="1" a="1"/>
  <c r="O534" i="17" s="1"/>
  <c r="K534" i="17"/>
  <c r="L534" i="17"/>
  <c r="M534" i="17" s="1"/>
  <c r="I535" i="17"/>
  <c r="J535" i="17"/>
  <c r="O535" i="17" s="1" a="1"/>
  <c r="O535" i="17" s="1"/>
  <c r="K535" i="17"/>
  <c r="L535" i="17"/>
  <c r="I536" i="17"/>
  <c r="J536" i="17"/>
  <c r="O536" i="17" s="1" a="1"/>
  <c r="O536" i="17" s="1"/>
  <c r="K536" i="17"/>
  <c r="L536" i="17"/>
  <c r="I537" i="17"/>
  <c r="J537" i="17"/>
  <c r="O537" i="17" s="1" a="1"/>
  <c r="O537" i="17" s="1"/>
  <c r="K537" i="17"/>
  <c r="L537" i="17"/>
  <c r="I538" i="17"/>
  <c r="J538" i="17"/>
  <c r="O538" i="17" s="1" a="1"/>
  <c r="O538" i="17" s="1"/>
  <c r="K538" i="17"/>
  <c r="L538" i="17"/>
  <c r="M538" i="17" s="1"/>
  <c r="I539" i="17"/>
  <c r="J539" i="17"/>
  <c r="O539" i="17" s="1" a="1"/>
  <c r="O539" i="17" s="1"/>
  <c r="K539" i="17"/>
  <c r="L539" i="17"/>
  <c r="M539" i="17" s="1"/>
  <c r="I540" i="17"/>
  <c r="J540" i="17"/>
  <c r="O540" i="17" s="1" a="1"/>
  <c r="O540" i="17" s="1"/>
  <c r="K540" i="17"/>
  <c r="L540" i="17"/>
  <c r="M540" i="17" s="1"/>
  <c r="I541" i="17"/>
  <c r="J541" i="17"/>
  <c r="O541" i="17" s="1" a="1"/>
  <c r="O541" i="17" s="1"/>
  <c r="K541" i="17"/>
  <c r="L541" i="17"/>
  <c r="M541" i="17" s="1"/>
  <c r="I542" i="17"/>
  <c r="J542" i="17"/>
  <c r="K542" i="17"/>
  <c r="L542" i="17"/>
  <c r="M542" i="17" s="1"/>
  <c r="I543" i="17"/>
  <c r="J543" i="17"/>
  <c r="O543" i="17" s="1" a="1"/>
  <c r="O543" i="17" s="1"/>
  <c r="K543" i="17"/>
  <c r="L543" i="17"/>
  <c r="M543" i="17" s="1"/>
  <c r="I544" i="17"/>
  <c r="J544" i="17"/>
  <c r="K544" i="17"/>
  <c r="L544" i="17"/>
  <c r="M544" i="17" s="1"/>
  <c r="I545" i="17"/>
  <c r="J545" i="17"/>
  <c r="K545" i="17"/>
  <c r="L545" i="17"/>
  <c r="M545" i="17" s="1"/>
  <c r="I546" i="17"/>
  <c r="J546" i="17"/>
  <c r="O546" i="17" s="1" a="1"/>
  <c r="O546" i="17" s="1"/>
  <c r="K546" i="17"/>
  <c r="L546" i="17"/>
  <c r="M546" i="17" s="1"/>
  <c r="I547" i="17"/>
  <c r="J547" i="17"/>
  <c r="K547" i="17"/>
  <c r="L547" i="17"/>
  <c r="M547" i="17" s="1"/>
  <c r="I548" i="17"/>
  <c r="J548" i="17"/>
  <c r="O548" i="17" s="1" a="1"/>
  <c r="O548" i="17" s="1"/>
  <c r="K548" i="17"/>
  <c r="L548" i="17"/>
  <c r="M548" i="17" s="1"/>
  <c r="I549" i="17"/>
  <c r="J549" i="17"/>
  <c r="O549" i="17" s="1" a="1"/>
  <c r="O549" i="17" s="1"/>
  <c r="K549" i="17"/>
  <c r="L549" i="17"/>
  <c r="I550" i="17"/>
  <c r="J550" i="17"/>
  <c r="O550" i="17" s="1" a="1"/>
  <c r="K550" i="17"/>
  <c r="L550" i="17"/>
  <c r="I551" i="17"/>
  <c r="J551" i="17"/>
  <c r="K551" i="17"/>
  <c r="L551" i="17"/>
  <c r="M551" i="17" s="1"/>
  <c r="I552" i="17"/>
  <c r="J552" i="17"/>
  <c r="O552" i="17" s="1" a="1"/>
  <c r="O552" i="17" s="1"/>
  <c r="K552" i="17"/>
  <c r="L552" i="17"/>
  <c r="M552" i="17" s="1"/>
  <c r="I553" i="17"/>
  <c r="J553" i="17"/>
  <c r="O553" i="17" s="1" a="1"/>
  <c r="K553" i="17"/>
  <c r="L553" i="17"/>
  <c r="M553" i="17" s="1"/>
  <c r="I554" i="17"/>
  <c r="J554" i="17"/>
  <c r="O554" i="17" s="1" a="1"/>
  <c r="O554" i="17" s="1"/>
  <c r="K554" i="17"/>
  <c r="L554" i="17"/>
  <c r="M554" i="17" s="1"/>
  <c r="I555" i="17"/>
  <c r="J555" i="17"/>
  <c r="O555" i="17" s="1" a="1"/>
  <c r="O555" i="17" s="1"/>
  <c r="K555" i="17"/>
  <c r="L555" i="17"/>
  <c r="M555" i="17" s="1"/>
  <c r="I556" i="17"/>
  <c r="J556" i="17"/>
  <c r="K556" i="17"/>
  <c r="L556" i="17"/>
  <c r="I557" i="17"/>
  <c r="J557" i="17"/>
  <c r="K557" i="17"/>
  <c r="L557" i="17"/>
  <c r="M557" i="17" s="1"/>
  <c r="I558" i="17"/>
  <c r="J558" i="17"/>
  <c r="O558" i="17" s="1" a="1"/>
  <c r="O558" i="17" s="1"/>
  <c r="K558" i="17"/>
  <c r="L558" i="17"/>
  <c r="M558" i="17" s="1"/>
  <c r="I559" i="17"/>
  <c r="J559" i="17"/>
  <c r="O559" i="17" s="1" a="1"/>
  <c r="O559" i="17" s="1"/>
  <c r="K559" i="17"/>
  <c r="L559" i="17"/>
  <c r="I560" i="17"/>
  <c r="J560" i="17"/>
  <c r="O560" i="17" s="1" a="1"/>
  <c r="O560" i="17" s="1"/>
  <c r="K560" i="17"/>
  <c r="L560" i="17"/>
  <c r="I561" i="17"/>
  <c r="J561" i="17"/>
  <c r="O561" i="17" s="1" a="1"/>
  <c r="O561" i="17" s="1"/>
  <c r="K561" i="17"/>
  <c r="L561" i="17"/>
  <c r="I562" i="17"/>
  <c r="J562" i="17"/>
  <c r="O562" i="17" s="1" a="1"/>
  <c r="O562" i="17" s="1"/>
  <c r="K562" i="17"/>
  <c r="L562" i="17"/>
  <c r="I563" i="17"/>
  <c r="J563" i="17"/>
  <c r="O563" i="17" s="1" a="1"/>
  <c r="O563" i="17" s="1"/>
  <c r="K563" i="17"/>
  <c r="L563" i="17"/>
  <c r="M563" i="17" s="1"/>
  <c r="I564" i="17"/>
  <c r="J564" i="17"/>
  <c r="O564" i="17" s="1" a="1"/>
  <c r="O564" i="17" s="1"/>
  <c r="K564" i="17"/>
  <c r="L564" i="17"/>
  <c r="M564" i="17" s="1"/>
  <c r="I565" i="17"/>
  <c r="J565" i="17"/>
  <c r="K565" i="17"/>
  <c r="L565" i="17"/>
  <c r="M565" i="17" s="1"/>
  <c r="I566" i="17"/>
  <c r="J566" i="17"/>
  <c r="K566" i="17"/>
  <c r="L566" i="17"/>
  <c r="M566" i="17" s="1"/>
  <c r="I567" i="17"/>
  <c r="J567" i="17"/>
  <c r="O567" i="17" s="1" a="1"/>
  <c r="O567" i="17" s="1"/>
  <c r="K567" i="17"/>
  <c r="L567" i="17"/>
  <c r="M567" i="17" s="1"/>
  <c r="I568" i="17"/>
  <c r="J568" i="17"/>
  <c r="O568" i="17" s="1" a="1"/>
  <c r="O568" i="17" s="1"/>
  <c r="K568" i="17"/>
  <c r="L568" i="17"/>
  <c r="M568" i="17" s="1"/>
  <c r="I569" i="17"/>
  <c r="J569" i="17"/>
  <c r="O569" i="17" s="1" a="1"/>
  <c r="O569" i="17" s="1"/>
  <c r="K569" i="17"/>
  <c r="L569" i="17"/>
  <c r="M569" i="17" s="1"/>
  <c r="I570" i="17"/>
  <c r="J570" i="17"/>
  <c r="O570" i="17" s="1" a="1"/>
  <c r="K570" i="17"/>
  <c r="L570" i="17"/>
  <c r="M570" i="17" s="1"/>
  <c r="I571" i="17"/>
  <c r="J571" i="17"/>
  <c r="K571" i="17"/>
  <c r="L571" i="17"/>
  <c r="M571" i="17" s="1"/>
  <c r="I572" i="17"/>
  <c r="J572" i="17"/>
  <c r="O572" i="17" s="1" a="1"/>
  <c r="O572" i="17" s="1"/>
  <c r="K572" i="17"/>
  <c r="L572" i="17"/>
  <c r="M572" i="17" s="1"/>
  <c r="I573" i="17"/>
  <c r="J573" i="17"/>
  <c r="O573" i="17" s="1" a="1"/>
  <c r="O573" i="17" s="1"/>
  <c r="K573" i="17"/>
  <c r="L573" i="17"/>
  <c r="M573" i="17" s="1"/>
  <c r="I574" i="17"/>
  <c r="J574" i="17"/>
  <c r="K574" i="17"/>
  <c r="L574" i="17"/>
  <c r="M574" i="17" s="1"/>
  <c r="I575" i="17"/>
  <c r="J575" i="17"/>
  <c r="K575" i="17"/>
  <c r="L575" i="17"/>
  <c r="M575" i="17" s="1"/>
  <c r="I576" i="17"/>
  <c r="J576" i="17"/>
  <c r="O576" i="17" s="1" a="1"/>
  <c r="K576" i="17"/>
  <c r="L576" i="17"/>
  <c r="M576" i="17" s="1"/>
  <c r="I577" i="17"/>
  <c r="J577" i="17"/>
  <c r="K577" i="17"/>
  <c r="L577" i="17"/>
  <c r="M577" i="17" s="1"/>
  <c r="I578" i="17"/>
  <c r="J578" i="17"/>
  <c r="O578" i="17" s="1" a="1"/>
  <c r="K578" i="17"/>
  <c r="L578" i="17"/>
  <c r="I579" i="17"/>
  <c r="J579" i="17"/>
  <c r="K579" i="17"/>
  <c r="L579" i="17"/>
  <c r="I580" i="17"/>
  <c r="J580" i="17"/>
  <c r="O580" i="17" s="1" a="1"/>
  <c r="O580" i="17" s="1"/>
  <c r="K580" i="17"/>
  <c r="L580" i="17"/>
  <c r="I581" i="17"/>
  <c r="J581" i="17"/>
  <c r="O581" i="17" s="1" a="1"/>
  <c r="O581" i="17" s="1"/>
  <c r="K581" i="17"/>
  <c r="L581" i="17"/>
  <c r="M581" i="17" s="1"/>
  <c r="I582" i="17"/>
  <c r="J582" i="17"/>
  <c r="O582" i="17" s="1" a="1"/>
  <c r="O582" i="17" s="1"/>
  <c r="K582" i="17"/>
  <c r="L582" i="17"/>
  <c r="M582" i="17" s="1"/>
  <c r="I583" i="17"/>
  <c r="J583" i="17"/>
  <c r="O583" i="17" s="1" a="1"/>
  <c r="O583" i="17" s="1"/>
  <c r="K583" i="17"/>
  <c r="L583" i="17"/>
  <c r="I584" i="17"/>
  <c r="J584" i="17"/>
  <c r="O584" i="17" s="1" a="1"/>
  <c r="O584" i="17" s="1"/>
  <c r="K584" i="17"/>
  <c r="L584" i="17"/>
  <c r="I585" i="17"/>
  <c r="J585" i="17"/>
  <c r="O585" i="17" s="1" a="1"/>
  <c r="O585" i="17" s="1"/>
  <c r="K585" i="17"/>
  <c r="L585" i="17"/>
  <c r="I586" i="17"/>
  <c r="J586" i="17"/>
  <c r="O586" i="17" s="1" a="1"/>
  <c r="O586" i="17" s="1"/>
  <c r="K586" i="17"/>
  <c r="L586" i="17"/>
  <c r="I587" i="17"/>
  <c r="J587" i="17"/>
  <c r="O587" i="17" s="1" a="1"/>
  <c r="O587" i="17" s="1"/>
  <c r="K587" i="17"/>
  <c r="L587" i="17"/>
  <c r="M587" i="17" s="1"/>
  <c r="I588" i="17"/>
  <c r="J588" i="17"/>
  <c r="O588" i="17" s="1" a="1"/>
  <c r="O588" i="17" s="1"/>
  <c r="K588" i="17"/>
  <c r="L588" i="17"/>
  <c r="I589" i="17"/>
  <c r="J589" i="17"/>
  <c r="K589" i="17"/>
  <c r="L589" i="17"/>
  <c r="I590" i="17"/>
  <c r="J590" i="17"/>
  <c r="O590" i="17" s="1" a="1"/>
  <c r="O590" i="17" s="1"/>
  <c r="K590" i="17"/>
  <c r="L590" i="17"/>
  <c r="M590" i="17" s="1"/>
  <c r="I591" i="17"/>
  <c r="J591" i="17"/>
  <c r="O591" i="17" s="1" a="1"/>
  <c r="O591" i="17" s="1"/>
  <c r="K591" i="17"/>
  <c r="L591" i="17"/>
  <c r="M591" i="17" s="1"/>
  <c r="I592" i="17"/>
  <c r="J592" i="17"/>
  <c r="K592" i="17"/>
  <c r="L592" i="17"/>
  <c r="M592" i="17" s="1"/>
  <c r="I593" i="17"/>
  <c r="J593" i="17"/>
  <c r="K593" i="17"/>
  <c r="L593" i="17"/>
  <c r="M593" i="17" s="1"/>
  <c r="I594" i="17"/>
  <c r="J594" i="17"/>
  <c r="K594" i="17"/>
  <c r="L594" i="17"/>
  <c r="M594" i="17" s="1"/>
  <c r="I595" i="17"/>
  <c r="J595" i="17"/>
  <c r="O595" i="17" s="1" a="1"/>
  <c r="O595" i="17" s="1"/>
  <c r="K595" i="17"/>
  <c r="L595" i="17"/>
  <c r="M595" i="17" s="1"/>
  <c r="I596" i="17"/>
  <c r="J596" i="17"/>
  <c r="O596" i="17" s="1" a="1"/>
  <c r="O596" i="17" s="1"/>
  <c r="K596" i="17"/>
  <c r="L596" i="17"/>
  <c r="M596" i="17" s="1"/>
  <c r="I597" i="17"/>
  <c r="J597" i="17"/>
  <c r="O597" i="17" s="1" a="1"/>
  <c r="O597" i="17" s="1"/>
  <c r="K597" i="17"/>
  <c r="L597" i="17"/>
  <c r="M597" i="17" s="1"/>
  <c r="I598" i="17"/>
  <c r="J598" i="17"/>
  <c r="O598" i="17" s="1" a="1"/>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O603" i="17" s="1" a="1"/>
  <c r="O603" i="17" s="1"/>
  <c r="K603" i="17"/>
  <c r="L603" i="17"/>
  <c r="M603" i="17" s="1"/>
  <c r="I604" i="17"/>
  <c r="J604" i="17"/>
  <c r="O604" i="17" s="1" a="1"/>
  <c r="O604" i="17" s="1"/>
  <c r="K604" i="17"/>
  <c r="L604" i="17"/>
  <c r="I605" i="17"/>
  <c r="J605" i="17"/>
  <c r="O605" i="17" s="1" a="1"/>
  <c r="O605" i="17" s="1"/>
  <c r="K605" i="17"/>
  <c r="L605" i="17"/>
  <c r="M605" i="17" s="1"/>
  <c r="I606" i="17"/>
  <c r="J606" i="17"/>
  <c r="O606" i="17" s="1" a="1"/>
  <c r="O606" i="17" s="1"/>
  <c r="K606" i="17"/>
  <c r="L606" i="17"/>
  <c r="M606" i="17" s="1"/>
  <c r="I607" i="17"/>
  <c r="J607" i="17"/>
  <c r="O607" i="17" s="1" a="1"/>
  <c r="O607" i="17" s="1"/>
  <c r="K607" i="17"/>
  <c r="L607" i="17"/>
  <c r="M607" i="17" s="1"/>
  <c r="I608" i="17"/>
  <c r="J608" i="17"/>
  <c r="O608" i="17" s="1" a="1"/>
  <c r="O608" i="17" s="1"/>
  <c r="K608" i="17"/>
  <c r="L608" i="17"/>
  <c r="I609" i="17"/>
  <c r="J609" i="17"/>
  <c r="O609" i="17" s="1" a="1"/>
  <c r="O609" i="17" s="1"/>
  <c r="K609" i="17"/>
  <c r="L609" i="17"/>
  <c r="I610" i="17"/>
  <c r="J610" i="17"/>
  <c r="O610" i="17" s="1" a="1"/>
  <c r="O610" i="17" s="1"/>
  <c r="K610" i="17"/>
  <c r="L610" i="17"/>
  <c r="I611" i="17"/>
  <c r="J611" i="17"/>
  <c r="O611" i="17" s="1" a="1"/>
  <c r="O611" i="17" s="1"/>
  <c r="K611" i="17"/>
  <c r="L611" i="17"/>
  <c r="M611" i="17" s="1"/>
  <c r="I612" i="17"/>
  <c r="J612" i="17"/>
  <c r="O612" i="17" s="1" a="1"/>
  <c r="O612" i="17" s="1"/>
  <c r="K612" i="17"/>
  <c r="L612" i="17"/>
  <c r="M612" i="17" s="1"/>
  <c r="I613" i="17"/>
  <c r="J613" i="17"/>
  <c r="O613" i="17" s="1" a="1"/>
  <c r="K613" i="17"/>
  <c r="L613" i="17"/>
  <c r="I614" i="17"/>
  <c r="J614" i="17"/>
  <c r="K614" i="17"/>
  <c r="L614" i="17"/>
  <c r="I615" i="17"/>
  <c r="J615" i="17"/>
  <c r="O615" i="17" s="1" a="1"/>
  <c r="O615" i="17" s="1"/>
  <c r="K615" i="17"/>
  <c r="L615" i="17"/>
  <c r="I616" i="17"/>
  <c r="J616" i="17"/>
  <c r="K616" i="17"/>
  <c r="L616" i="17"/>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O624" i="17" s="1" a="1"/>
  <c r="O624" i="17" s="1"/>
  <c r="K624" i="17"/>
  <c r="L624" i="17"/>
  <c r="M624" i="17" s="1"/>
  <c r="I625" i="17"/>
  <c r="J625" i="17"/>
  <c r="O625" i="17" s="1" a="1"/>
  <c r="O625" i="17" s="1"/>
  <c r="K625" i="17"/>
  <c r="L625" i="17"/>
  <c r="M625" i="17" s="1"/>
  <c r="I626" i="17"/>
  <c r="J626" i="17"/>
  <c r="O626" i="17" s="1" a="1"/>
  <c r="O626" i="17" s="1"/>
  <c r="K626" i="17"/>
  <c r="L626" i="17"/>
  <c r="M626" i="17" s="1"/>
  <c r="I627" i="17"/>
  <c r="J627" i="17"/>
  <c r="O627" i="17" s="1" a="1"/>
  <c r="O627" i="17" s="1"/>
  <c r="K627" i="17"/>
  <c r="L627" i="17"/>
  <c r="I628" i="17"/>
  <c r="J628" i="17"/>
  <c r="O628" i="17" s="1" a="1"/>
  <c r="O628" i="17" s="1"/>
  <c r="K628" i="17"/>
  <c r="L628" i="17"/>
  <c r="I629" i="17"/>
  <c r="J629" i="17"/>
  <c r="O629" i="17" s="1" a="1"/>
  <c r="O629" i="17" s="1"/>
  <c r="K629" i="17"/>
  <c r="L629" i="17"/>
  <c r="M629" i="17" s="1"/>
  <c r="I630" i="17"/>
  <c r="J630" i="17"/>
  <c r="O630" i="17" s="1" a="1"/>
  <c r="O630" i="17" s="1"/>
  <c r="K630" i="17"/>
  <c r="L630" i="17"/>
  <c r="M630" i="17" s="1"/>
  <c r="I631" i="17"/>
  <c r="J631" i="17"/>
  <c r="O631" i="17" s="1" a="1"/>
  <c r="O631" i="17" s="1"/>
  <c r="K631" i="17"/>
  <c r="L631" i="17"/>
  <c r="I632" i="17"/>
  <c r="J632" i="17"/>
  <c r="O632" i="17" s="1" a="1"/>
  <c r="O632" i="17" s="1"/>
  <c r="K632" i="17"/>
  <c r="L632" i="17"/>
  <c r="I633" i="17"/>
  <c r="J633" i="17"/>
  <c r="O633" i="17" s="1" a="1"/>
  <c r="O633" i="17" s="1"/>
  <c r="K633" i="17"/>
  <c r="L633" i="17"/>
  <c r="M633" i="17" s="1"/>
  <c r="I634" i="17"/>
  <c r="J634" i="17"/>
  <c r="O634" i="17" s="1" a="1"/>
  <c r="O634" i="17" s="1"/>
  <c r="K634" i="17"/>
  <c r="L634" i="17"/>
  <c r="I635" i="17"/>
  <c r="J635" i="17"/>
  <c r="K635" i="17"/>
  <c r="L635" i="17"/>
  <c r="I636" i="17"/>
  <c r="J636" i="17"/>
  <c r="K636" i="17"/>
  <c r="L636" i="17"/>
  <c r="I637" i="17"/>
  <c r="J637" i="17"/>
  <c r="K637" i="17"/>
  <c r="L637" i="17"/>
  <c r="I638" i="17"/>
  <c r="J638" i="17"/>
  <c r="O638" i="17" s="1" a="1"/>
  <c r="O638" i="17" s="1"/>
  <c r="K638" i="17"/>
  <c r="L638" i="17"/>
  <c r="I639" i="17"/>
  <c r="J639" i="17"/>
  <c r="O639" i="17" s="1" a="1"/>
  <c r="O639" i="17" s="1"/>
  <c r="K639" i="17"/>
  <c r="L639" i="17"/>
  <c r="I640" i="17"/>
  <c r="J640" i="17"/>
  <c r="K640" i="17"/>
  <c r="L640" i="17"/>
  <c r="I641" i="17"/>
  <c r="J641" i="17"/>
  <c r="O641" i="17" s="1" a="1"/>
  <c r="O641" i="17" s="1"/>
  <c r="K641" i="17"/>
  <c r="L641" i="17"/>
  <c r="M641" i="17" s="1"/>
  <c r="I642" i="17"/>
  <c r="J642" i="17"/>
  <c r="K642" i="17"/>
  <c r="L642" i="17"/>
  <c r="M642" i="17" s="1"/>
  <c r="I643" i="17"/>
  <c r="J643" i="17"/>
  <c r="O643" i="17" s="1" a="1"/>
  <c r="K643" i="17"/>
  <c r="L643" i="17"/>
  <c r="M643" i="17" s="1"/>
  <c r="I644" i="17"/>
  <c r="J644" i="17"/>
  <c r="K644" i="17"/>
  <c r="L644" i="17"/>
  <c r="M644" i="17" s="1"/>
  <c r="I645" i="17"/>
  <c r="J645" i="17"/>
  <c r="O645" i="17" s="1" a="1"/>
  <c r="O645" i="17" s="1"/>
  <c r="K645" i="17"/>
  <c r="L645" i="17"/>
  <c r="M645" i="17" s="1"/>
  <c r="I646" i="17"/>
  <c r="J646" i="17"/>
  <c r="K646" i="17"/>
  <c r="L646" i="17"/>
  <c r="M646" i="17" s="1"/>
  <c r="I647" i="17"/>
  <c r="J647" i="17"/>
  <c r="K647" i="17"/>
  <c r="L647" i="17"/>
  <c r="M647" i="17" s="1"/>
  <c r="I648" i="17"/>
  <c r="J648" i="17"/>
  <c r="O648" i="17" s="1" a="1"/>
  <c r="O648" i="17" s="1"/>
  <c r="K648" i="17"/>
  <c r="L648" i="17"/>
  <c r="M648" i="17" s="1"/>
  <c r="I649" i="17"/>
  <c r="J649" i="17"/>
  <c r="O649" i="17" s="1" a="1"/>
  <c r="O649" i="17" s="1"/>
  <c r="K649" i="17"/>
  <c r="L649" i="17"/>
  <c r="M649" i="17" s="1"/>
  <c r="I650" i="17"/>
  <c r="J650" i="17"/>
  <c r="O650" i="17" s="1" a="1"/>
  <c r="O650" i="17" s="1"/>
  <c r="K650" i="17"/>
  <c r="L650" i="17"/>
  <c r="M650" i="17" s="1"/>
  <c r="I651" i="17"/>
  <c r="J651" i="17"/>
  <c r="O651" i="17" s="1" a="1"/>
  <c r="O651" i="17" s="1"/>
  <c r="K651" i="17"/>
  <c r="L651" i="17"/>
  <c r="M651" i="17" s="1"/>
  <c r="I652" i="17"/>
  <c r="J652" i="17"/>
  <c r="O652" i="17" s="1" a="1"/>
  <c r="O652" i="17" s="1"/>
  <c r="K652" i="17"/>
  <c r="L652" i="17"/>
  <c r="I653" i="17"/>
  <c r="J653" i="17"/>
  <c r="O653" i="17" s="1" a="1"/>
  <c r="O653" i="17" s="1"/>
  <c r="K653" i="17"/>
  <c r="L653" i="17"/>
  <c r="M653" i="17" s="1"/>
  <c r="I654" i="17"/>
  <c r="J654" i="17"/>
  <c r="O654" i="17" s="1" a="1"/>
  <c r="O654" i="17" s="1"/>
  <c r="K654" i="17"/>
  <c r="L654" i="17"/>
  <c r="M654" i="17" s="1"/>
  <c r="I655" i="17"/>
  <c r="J655" i="17"/>
  <c r="K655" i="17"/>
  <c r="L655" i="17"/>
  <c r="M655" i="17" s="1"/>
  <c r="I656" i="17"/>
  <c r="J656" i="17"/>
  <c r="K656" i="17"/>
  <c r="L656" i="17"/>
  <c r="I657" i="17"/>
  <c r="J657" i="17"/>
  <c r="O657" i="17" s="1" a="1"/>
  <c r="K657" i="17"/>
  <c r="L657" i="17"/>
  <c r="I658" i="17"/>
  <c r="J658" i="17"/>
  <c r="O658" i="17" s="1" a="1"/>
  <c r="O658" i="17" s="1"/>
  <c r="K658" i="17"/>
  <c r="L658" i="17"/>
  <c r="M658" i="17" s="1"/>
  <c r="I659" i="17"/>
  <c r="J659" i="17"/>
  <c r="K659" i="17"/>
  <c r="L659" i="17"/>
  <c r="M659" i="17" s="1"/>
  <c r="I660" i="17"/>
  <c r="J660" i="17"/>
  <c r="O660" i="17" s="1" a="1"/>
  <c r="O660" i="17" s="1"/>
  <c r="K660" i="17"/>
  <c r="L660" i="17"/>
  <c r="M660" i="17" s="1"/>
  <c r="I661" i="17"/>
  <c r="J661" i="17"/>
  <c r="K661" i="17"/>
  <c r="L661" i="17"/>
  <c r="I662" i="17"/>
  <c r="J662" i="17"/>
  <c r="K662" i="17"/>
  <c r="L662" i="17"/>
  <c r="I663" i="17"/>
  <c r="J663" i="17"/>
  <c r="O663" i="17" s="1" a="1"/>
  <c r="O663" i="17" s="1"/>
  <c r="K663" i="17"/>
  <c r="L663" i="17"/>
  <c r="I664" i="17"/>
  <c r="J664" i="17"/>
  <c r="K664" i="17"/>
  <c r="L664" i="17"/>
  <c r="I665" i="17"/>
  <c r="J665" i="17"/>
  <c r="K665" i="17"/>
  <c r="L665" i="17"/>
  <c r="M665" i="17" s="1"/>
  <c r="I666" i="17"/>
  <c r="J666" i="17"/>
  <c r="K666" i="17"/>
  <c r="L666" i="17"/>
  <c r="M666" i="17" s="1"/>
  <c r="I667" i="17"/>
  <c r="J667" i="17"/>
  <c r="O667" i="17" s="1" a="1"/>
  <c r="O667" i="17" s="1"/>
  <c r="K667" i="17"/>
  <c r="L667" i="17"/>
  <c r="M667" i="17" s="1"/>
  <c r="I668" i="17"/>
  <c r="J668" i="17"/>
  <c r="O668" i="17" s="1" a="1"/>
  <c r="O668" i="17" s="1"/>
  <c r="K668" i="17"/>
  <c r="L668" i="17"/>
  <c r="M668" i="17" s="1"/>
  <c r="I669" i="17"/>
  <c r="J669" i="17"/>
  <c r="O669" i="17" s="1" a="1"/>
  <c r="O669" i="17" s="1"/>
  <c r="K669" i="17"/>
  <c r="L669" i="17"/>
  <c r="M669" i="17" s="1"/>
  <c r="I670" i="17"/>
  <c r="J670" i="17"/>
  <c r="O670" i="17" s="1" a="1"/>
  <c r="O670" i="17" s="1"/>
  <c r="K670" i="17"/>
  <c r="L670" i="17"/>
  <c r="M670" i="17" s="1"/>
  <c r="I671" i="17"/>
  <c r="J671" i="17"/>
  <c r="O671" i="17" s="1" a="1"/>
  <c r="O671" i="17" s="1"/>
  <c r="K671" i="17"/>
  <c r="L671" i="17"/>
  <c r="M671" i="17" s="1"/>
  <c r="I672" i="17"/>
  <c r="J672" i="17"/>
  <c r="O672" i="17" s="1" a="1"/>
  <c r="O672" i="17" s="1"/>
  <c r="K672" i="17"/>
  <c r="L672" i="17"/>
  <c r="M672" i="17" s="1"/>
  <c r="I673" i="17"/>
  <c r="J673" i="17"/>
  <c r="O673" i="17" s="1" a="1"/>
  <c r="O673" i="17" s="1"/>
  <c r="K673" i="17"/>
  <c r="L673" i="17"/>
  <c r="M673" i="17" s="1"/>
  <c r="I674" i="17"/>
  <c r="J674" i="17"/>
  <c r="O674" i="17" s="1" a="1"/>
  <c r="O674" i="17" s="1"/>
  <c r="K674" i="17"/>
  <c r="L674" i="17"/>
  <c r="M674" i="17" s="1"/>
  <c r="I675" i="17"/>
  <c r="J675" i="17"/>
  <c r="O675" i="17" s="1" a="1"/>
  <c r="O675" i="17" s="1"/>
  <c r="K675" i="17"/>
  <c r="L675" i="17"/>
  <c r="M675" i="17" s="1"/>
  <c r="I676" i="17"/>
  <c r="J676" i="17"/>
  <c r="O676" i="17" s="1" a="1"/>
  <c r="O676" i="17" s="1"/>
  <c r="K676" i="17"/>
  <c r="L676" i="17"/>
  <c r="M676" i="17" s="1"/>
  <c r="I677" i="17"/>
  <c r="J677" i="17"/>
  <c r="K677" i="17"/>
  <c r="L677" i="17"/>
  <c r="M677" i="17" s="1"/>
  <c r="I678" i="17"/>
  <c r="J678" i="17"/>
  <c r="O678" i="17" s="1" a="1"/>
  <c r="K678" i="17"/>
  <c r="L678" i="17"/>
  <c r="M678" i="17" s="1"/>
  <c r="I679" i="17"/>
  <c r="J679" i="17"/>
  <c r="O679" i="17" s="1" a="1"/>
  <c r="O679" i="17" s="1"/>
  <c r="K679" i="17"/>
  <c r="L679" i="17"/>
  <c r="M679" i="17" s="1"/>
  <c r="I680" i="17"/>
  <c r="J680" i="17"/>
  <c r="O680" i="17" s="1" a="1"/>
  <c r="O680" i="17" s="1"/>
  <c r="K680" i="17"/>
  <c r="L680" i="17"/>
  <c r="I681" i="17"/>
  <c r="J681" i="17"/>
  <c r="O681" i="17" s="1" a="1"/>
  <c r="O681" i="17" s="1"/>
  <c r="K681" i="17"/>
  <c r="L681" i="17"/>
  <c r="I682" i="17"/>
  <c r="J682" i="17"/>
  <c r="O682" i="17" s="1" a="1"/>
  <c r="K682" i="17"/>
  <c r="L682" i="17"/>
  <c r="I683" i="17"/>
  <c r="J683" i="17"/>
  <c r="O683" i="17" s="1" a="1"/>
  <c r="K683" i="17"/>
  <c r="L683" i="17"/>
  <c r="M683" i="17" s="1"/>
  <c r="I684" i="17"/>
  <c r="J684" i="17"/>
  <c r="O684" i="17" s="1" a="1"/>
  <c r="K684" i="17"/>
  <c r="L684" i="17"/>
  <c r="I685" i="17"/>
  <c r="J685" i="17"/>
  <c r="K685" i="17"/>
  <c r="L685" i="17"/>
  <c r="I686" i="17"/>
  <c r="J686" i="17"/>
  <c r="O686" i="17" s="1" a="1"/>
  <c r="K686" i="17"/>
  <c r="L686" i="17"/>
  <c r="I687" i="17"/>
  <c r="J687" i="17"/>
  <c r="K687" i="17"/>
  <c r="L687" i="17"/>
  <c r="I688" i="17"/>
  <c r="J688" i="17"/>
  <c r="K688" i="17"/>
  <c r="L688" i="17"/>
  <c r="I689" i="17"/>
  <c r="J689" i="17"/>
  <c r="O689" i="17" s="1" a="1"/>
  <c r="O689" i="17" s="1"/>
  <c r="K689" i="17"/>
  <c r="L689" i="17"/>
  <c r="M689" i="17" s="1"/>
  <c r="I690" i="17"/>
  <c r="J690" i="17"/>
  <c r="O690" i="17" s="1" a="1"/>
  <c r="K690" i="17"/>
  <c r="L690" i="17"/>
  <c r="M690" i="17" s="1"/>
  <c r="I691" i="17"/>
  <c r="J691" i="17"/>
  <c r="O691" i="17" s="1" a="1"/>
  <c r="O691" i="17" s="1"/>
  <c r="K691" i="17"/>
  <c r="L691" i="17"/>
  <c r="M691" i="17" s="1"/>
  <c r="I692" i="17"/>
  <c r="J692" i="17"/>
  <c r="O692" i="17" s="1" a="1"/>
  <c r="O692" i="17" s="1"/>
  <c r="K692" i="17"/>
  <c r="L692" i="17"/>
  <c r="M692" i="17" s="1"/>
  <c r="I693" i="17"/>
  <c r="J693" i="17"/>
  <c r="O693" i="17" s="1" a="1"/>
  <c r="O693" i="17" s="1"/>
  <c r="K693" i="17"/>
  <c r="L693" i="17"/>
  <c r="M693" i="17" s="1"/>
  <c r="I694" i="17"/>
  <c r="J694" i="17"/>
  <c r="O694" i="17" s="1" a="1"/>
  <c r="O694" i="17" s="1"/>
  <c r="K694" i="17"/>
  <c r="L694" i="17"/>
  <c r="M694" i="17" s="1"/>
  <c r="I695" i="17"/>
  <c r="J695" i="17"/>
  <c r="O695" i="17" s="1" a="1"/>
  <c r="O695" i="17" s="1"/>
  <c r="K695" i="17"/>
  <c r="L695" i="17"/>
  <c r="M695" i="17" s="1"/>
  <c r="I696" i="17"/>
  <c r="J696" i="17"/>
  <c r="O696" i="17" s="1" a="1"/>
  <c r="O696" i="17" s="1"/>
  <c r="K696" i="17"/>
  <c r="L696" i="17"/>
  <c r="M696" i="17" s="1"/>
  <c r="I697" i="17"/>
  <c r="J697" i="17"/>
  <c r="O697" i="17" s="1" a="1"/>
  <c r="K697" i="17"/>
  <c r="L697" i="17"/>
  <c r="M697" i="17" s="1"/>
  <c r="I698" i="17"/>
  <c r="J698" i="17"/>
  <c r="O698" i="17" s="1" a="1"/>
  <c r="K698" i="17"/>
  <c r="L698" i="17"/>
  <c r="M698" i="17" s="1"/>
  <c r="I699" i="17"/>
  <c r="J699" i="17"/>
  <c r="O699" i="17" s="1" a="1"/>
  <c r="O699" i="17" s="1"/>
  <c r="K699" i="17"/>
  <c r="L699" i="17"/>
  <c r="M699" i="17" s="1"/>
  <c r="I700" i="17"/>
  <c r="J700" i="17"/>
  <c r="K700" i="17"/>
  <c r="L700" i="17"/>
  <c r="M700" i="17" s="1"/>
  <c r="I701" i="17"/>
  <c r="J701" i="17"/>
  <c r="O701" i="17" s="1" a="1"/>
  <c r="O701" i="17" s="1"/>
  <c r="K701" i="17"/>
  <c r="L701" i="17"/>
  <c r="M701" i="17" s="1"/>
  <c r="I702" i="17"/>
  <c r="J702" i="17"/>
  <c r="K702" i="17"/>
  <c r="L702" i="17"/>
  <c r="M702" i="17" s="1"/>
  <c r="I703" i="17"/>
  <c r="J703" i="17"/>
  <c r="O703" i="17" s="1" a="1"/>
  <c r="O703" i="17" s="1"/>
  <c r="K703" i="17"/>
  <c r="L703" i="17"/>
  <c r="I704" i="17"/>
  <c r="J704" i="17"/>
  <c r="O704" i="17" s="1" a="1"/>
  <c r="O704" i="17" s="1"/>
  <c r="K704" i="17"/>
  <c r="L704" i="17"/>
  <c r="M704" i="17" s="1"/>
  <c r="I705" i="17"/>
  <c r="J705" i="17"/>
  <c r="O705" i="17" s="1" a="1"/>
  <c r="O705" i="17" s="1"/>
  <c r="K705" i="17"/>
  <c r="L705" i="17"/>
  <c r="I706" i="17"/>
  <c r="J706" i="17"/>
  <c r="O706" i="17" s="1" a="1"/>
  <c r="K706" i="17"/>
  <c r="L706" i="17"/>
  <c r="I707" i="17"/>
  <c r="J707" i="17"/>
  <c r="O707" i="17" s="1" a="1"/>
  <c r="K707" i="17"/>
  <c r="L707" i="17"/>
  <c r="M707" i="17" s="1"/>
  <c r="I708" i="17"/>
  <c r="J708" i="17"/>
  <c r="K708" i="17"/>
  <c r="L708" i="17"/>
  <c r="M708" i="17" s="1"/>
  <c r="I709" i="17"/>
  <c r="J709" i="17"/>
  <c r="K709" i="17"/>
  <c r="L709" i="17"/>
  <c r="I710" i="17"/>
  <c r="J710" i="17"/>
  <c r="O710" i="17" s="1" a="1"/>
  <c r="O710" i="17" s="1"/>
  <c r="K710" i="17"/>
  <c r="L710" i="17"/>
  <c r="I711" i="17"/>
  <c r="J711" i="17"/>
  <c r="O711" i="17" s="1" a="1"/>
  <c r="O711" i="17" s="1"/>
  <c r="K711" i="17"/>
  <c r="L711" i="17"/>
  <c r="I712" i="17"/>
  <c r="J712" i="17"/>
  <c r="O712" i="17" s="1" a="1"/>
  <c r="O712" i="17" s="1"/>
  <c r="K712" i="17"/>
  <c r="L712" i="17"/>
  <c r="I713" i="17"/>
  <c r="J713" i="17"/>
  <c r="O713" i="17" s="1" a="1"/>
  <c r="O713" i="17" s="1"/>
  <c r="K713" i="17"/>
  <c r="L713" i="17"/>
  <c r="M713" i="17" s="1"/>
  <c r="I714" i="17"/>
  <c r="J714" i="17"/>
  <c r="O714" i="17" s="1" a="1"/>
  <c r="O714" i="17" s="1"/>
  <c r="K714" i="17"/>
  <c r="L714" i="17"/>
  <c r="M714" i="17" s="1"/>
  <c r="I715" i="17"/>
  <c r="J715" i="17"/>
  <c r="O715" i="17" s="1" a="1"/>
  <c r="O715" i="17" s="1"/>
  <c r="K715" i="17"/>
  <c r="L715" i="17"/>
  <c r="M715" i="17" s="1"/>
  <c r="I716" i="17"/>
  <c r="J716" i="17"/>
  <c r="O716" i="17" s="1" a="1"/>
  <c r="O716" i="17" s="1"/>
  <c r="K716" i="17"/>
  <c r="L716" i="17"/>
  <c r="I717" i="17"/>
  <c r="J717" i="17"/>
  <c r="O717" i="17" s="1" a="1"/>
  <c r="O717" i="17" s="1"/>
  <c r="K717" i="17"/>
  <c r="L717" i="17"/>
  <c r="I718" i="17"/>
  <c r="J718" i="17"/>
  <c r="O718" i="17" s="1" a="1"/>
  <c r="O718" i="17" s="1"/>
  <c r="K718" i="17"/>
  <c r="L718" i="17"/>
  <c r="M718" i="17" s="1"/>
  <c r="I719" i="17"/>
  <c r="J719" i="17"/>
  <c r="O719" i="17" s="1" a="1"/>
  <c r="K719" i="17"/>
  <c r="L719" i="17"/>
  <c r="M719" i="17" s="1"/>
  <c r="I720" i="17"/>
  <c r="J720" i="17"/>
  <c r="O720" i="17" s="1" a="1"/>
  <c r="O720" i="17" s="1"/>
  <c r="K720" i="17"/>
  <c r="L720" i="17"/>
  <c r="M720" i="17" s="1"/>
  <c r="I721" i="17"/>
  <c r="J721" i="17"/>
  <c r="O721" i="17" s="1" a="1"/>
  <c r="O721" i="17" s="1"/>
  <c r="K721" i="17"/>
  <c r="L721" i="17"/>
  <c r="M721" i="17" s="1"/>
  <c r="I722" i="17"/>
  <c r="J722" i="17"/>
  <c r="O722" i="17" s="1" a="1"/>
  <c r="K722" i="17"/>
  <c r="L722" i="17"/>
  <c r="M722" i="17" s="1"/>
  <c r="I723" i="17"/>
  <c r="J723" i="17"/>
  <c r="O723" i="17" s="1" a="1"/>
  <c r="O723" i="17" s="1"/>
  <c r="K723" i="17"/>
  <c r="L723" i="17"/>
  <c r="M723" i="17" s="1"/>
  <c r="I724" i="17"/>
  <c r="J724" i="17"/>
  <c r="O724" i="17" s="1" a="1"/>
  <c r="O724" i="17" s="1"/>
  <c r="K724" i="17"/>
  <c r="L724" i="17"/>
  <c r="M724" i="17" s="1"/>
  <c r="I725" i="17"/>
  <c r="J725" i="17"/>
  <c r="O725" i="17" s="1" a="1"/>
  <c r="O725" i="17" s="1"/>
  <c r="K725" i="17"/>
  <c r="L725" i="17"/>
  <c r="M725" i="17" s="1"/>
  <c r="I726" i="17"/>
  <c r="J726" i="17"/>
  <c r="K726" i="17"/>
  <c r="L726" i="17"/>
  <c r="M726" i="17" s="1"/>
  <c r="I727" i="17"/>
  <c r="J727" i="17"/>
  <c r="O727" i="17" s="1" a="1"/>
  <c r="O727" i="17" s="1"/>
  <c r="K727" i="17"/>
  <c r="L727" i="17"/>
  <c r="I728" i="17"/>
  <c r="J728" i="17"/>
  <c r="K728" i="17"/>
  <c r="L728" i="17"/>
  <c r="I729" i="17"/>
  <c r="J729" i="17"/>
  <c r="K729" i="17"/>
  <c r="L729" i="17"/>
  <c r="M729" i="17" s="1"/>
  <c r="I730" i="17"/>
  <c r="J730" i="17"/>
  <c r="K730" i="17"/>
  <c r="L730" i="17"/>
  <c r="I731" i="17"/>
  <c r="J731" i="17"/>
  <c r="K731" i="17"/>
  <c r="L731" i="17"/>
  <c r="I732" i="17"/>
  <c r="J732" i="17"/>
  <c r="K732" i="17"/>
  <c r="L732" i="17"/>
  <c r="I733" i="17"/>
  <c r="J733" i="17"/>
  <c r="O733" i="17" s="1" a="1"/>
  <c r="O733" i="17" s="1"/>
  <c r="K733" i="17"/>
  <c r="L733" i="17"/>
  <c r="M733" i="17" s="1"/>
  <c r="I734" i="17"/>
  <c r="J734" i="17"/>
  <c r="O734" i="17" s="1" a="1"/>
  <c r="O734" i="17" s="1"/>
  <c r="K734" i="17"/>
  <c r="L734" i="17"/>
  <c r="I735" i="17"/>
  <c r="J735" i="17"/>
  <c r="O735" i="17" s="1" a="1"/>
  <c r="O735" i="17" s="1"/>
  <c r="K735" i="17"/>
  <c r="L735" i="17"/>
  <c r="I736" i="17"/>
  <c r="J736" i="17"/>
  <c r="O736" i="17" s="1" a="1"/>
  <c r="O736" i="17" s="1"/>
  <c r="K736" i="17"/>
  <c r="L736" i="17"/>
  <c r="I737" i="17"/>
  <c r="J737" i="17"/>
  <c r="O737" i="17" s="1" a="1"/>
  <c r="O737" i="17" s="1"/>
  <c r="K737" i="17"/>
  <c r="L737" i="17"/>
  <c r="M737" i="17" s="1"/>
  <c r="I738" i="17"/>
  <c r="J738" i="17"/>
  <c r="O738" i="17" s="1" a="1"/>
  <c r="O738" i="17" s="1"/>
  <c r="K738" i="17"/>
  <c r="L738" i="17"/>
  <c r="M738" i="17" s="1"/>
  <c r="I739" i="17"/>
  <c r="J739" i="17"/>
  <c r="O739" i="17" s="1" a="1"/>
  <c r="O739" i="17" s="1"/>
  <c r="K739" i="17"/>
  <c r="L739" i="17"/>
  <c r="M739" i="17" s="1"/>
  <c r="I740" i="17"/>
  <c r="J740" i="17"/>
  <c r="O740" i="17" s="1" a="1"/>
  <c r="O740" i="17" s="1"/>
  <c r="K740" i="17"/>
  <c r="L740" i="17"/>
  <c r="M740" i="17" s="1"/>
  <c r="I741" i="17"/>
  <c r="J741" i="17"/>
  <c r="O741" i="17" s="1" a="1"/>
  <c r="O741" i="17" s="1"/>
  <c r="K741" i="17"/>
  <c r="L741" i="17"/>
  <c r="I742" i="17"/>
  <c r="J742" i="17"/>
  <c r="O742" i="17" s="1" a="1"/>
  <c r="K742" i="17"/>
  <c r="L742" i="17"/>
  <c r="I743" i="17"/>
  <c r="J743" i="17"/>
  <c r="K743" i="17"/>
  <c r="L743" i="17"/>
  <c r="M743" i="17" s="1"/>
  <c r="I744" i="17"/>
  <c r="J744" i="17"/>
  <c r="O744" i="17" s="1" a="1"/>
  <c r="O744" i="17" s="1"/>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O752" i="17" s="1" a="1"/>
  <c r="O752" i="17" s="1"/>
  <c r="K752" i="17"/>
  <c r="L752" i="17"/>
  <c r="I753" i="17"/>
  <c r="J753" i="17"/>
  <c r="O753" i="17" s="1" a="1"/>
  <c r="O753" i="17" s="1"/>
  <c r="K753" i="17"/>
  <c r="L753" i="17"/>
  <c r="I754" i="17"/>
  <c r="J754" i="17"/>
  <c r="O754" i="17" s="1" a="1"/>
  <c r="O754" i="17" s="1"/>
  <c r="K754" i="17"/>
  <c r="L754" i="17"/>
  <c r="M754" i="17" s="1"/>
  <c r="I755" i="17"/>
  <c r="J755" i="17"/>
  <c r="O755" i="17" s="1" a="1"/>
  <c r="O755" i="17" s="1"/>
  <c r="K755" i="17"/>
  <c r="L755" i="17"/>
  <c r="M755" i="17" s="1"/>
  <c r="I756" i="17"/>
  <c r="J756" i="17"/>
  <c r="O756" i="17" s="1" a="1"/>
  <c r="O756" i="17" s="1"/>
  <c r="K756" i="17"/>
  <c r="L756" i="17"/>
  <c r="M756" i="17" s="1"/>
  <c r="I757" i="17"/>
  <c r="J757" i="17"/>
  <c r="O757" i="17" s="1" a="1"/>
  <c r="O757" i="17" s="1"/>
  <c r="K757" i="17"/>
  <c r="L757" i="17"/>
  <c r="I758" i="17"/>
  <c r="J758" i="17"/>
  <c r="O758" i="17" s="1" a="1"/>
  <c r="O758" i="17" s="1"/>
  <c r="K758" i="17"/>
  <c r="L758" i="17"/>
  <c r="M758" i="17" s="1"/>
  <c r="I759" i="17"/>
  <c r="J759" i="17"/>
  <c r="O759" i="17" s="1" a="1"/>
  <c r="O759" i="17" s="1"/>
  <c r="K759" i="17"/>
  <c r="L759" i="17"/>
  <c r="I760" i="17"/>
  <c r="J760" i="17"/>
  <c r="O760" i="17" s="1" a="1"/>
  <c r="O760" i="17" s="1"/>
  <c r="K760" i="17"/>
  <c r="L760" i="17"/>
  <c r="I761" i="17"/>
  <c r="J761" i="17"/>
  <c r="O761" i="17" s="1" a="1"/>
  <c r="O761" i="17" s="1"/>
  <c r="K761" i="17"/>
  <c r="L761" i="17"/>
  <c r="M761" i="17" s="1"/>
  <c r="I762" i="17"/>
  <c r="J762" i="17"/>
  <c r="O762" i="17" s="1" a="1"/>
  <c r="O762" i="17" s="1"/>
  <c r="K762" i="17"/>
  <c r="L762" i="17"/>
  <c r="M762" i="17" s="1"/>
  <c r="I763" i="17"/>
  <c r="J763" i="17"/>
  <c r="O763" i="17" s="1" a="1"/>
  <c r="O763" i="17" s="1"/>
  <c r="K763" i="17"/>
  <c r="L763" i="17"/>
  <c r="M763" i="17" s="1"/>
  <c r="I764" i="17"/>
  <c r="J764" i="17"/>
  <c r="K764" i="17"/>
  <c r="L764" i="17"/>
  <c r="I765" i="17"/>
  <c r="J765" i="17"/>
  <c r="O765" i="17" s="1" a="1"/>
  <c r="K765" i="17"/>
  <c r="L765" i="17"/>
  <c r="I766" i="17"/>
  <c r="J766" i="17"/>
  <c r="K766" i="17"/>
  <c r="L766" i="17"/>
  <c r="I767" i="17"/>
  <c r="J767" i="17"/>
  <c r="O767" i="17" s="1" a="1"/>
  <c r="O767" i="17" s="1"/>
  <c r="K767" i="17"/>
  <c r="L767" i="17"/>
  <c r="I768" i="17"/>
  <c r="J768" i="17"/>
  <c r="O768" i="17" s="1" a="1"/>
  <c r="O768" i="17" s="1"/>
  <c r="K768" i="17"/>
  <c r="L768" i="17"/>
  <c r="M768" i="17" s="1"/>
  <c r="I769" i="17"/>
  <c r="J769" i="17"/>
  <c r="O769" i="17" s="1" a="1"/>
  <c r="O769" i="17" s="1"/>
  <c r="K769" i="17"/>
  <c r="L769" i="17"/>
  <c r="M769" i="17" s="1"/>
  <c r="I770" i="17"/>
  <c r="J770" i="17"/>
  <c r="O770" i="17" s="1" a="1"/>
  <c r="K770" i="17"/>
  <c r="L770" i="17"/>
  <c r="M770" i="17" s="1"/>
  <c r="I771" i="17"/>
  <c r="J771" i="17"/>
  <c r="K771" i="17"/>
  <c r="L771" i="17"/>
  <c r="M771" i="17" s="1"/>
  <c r="I772" i="17"/>
  <c r="J772" i="17"/>
  <c r="O772" i="17" s="1" a="1"/>
  <c r="O772" i="17" s="1"/>
  <c r="K772" i="17"/>
  <c r="L772" i="17"/>
  <c r="M772" i="17" s="1"/>
  <c r="I773" i="17"/>
  <c r="J773" i="17"/>
  <c r="K773" i="17"/>
  <c r="L773" i="17"/>
  <c r="M773" i="17" s="1"/>
  <c r="I774" i="17"/>
  <c r="J774" i="17"/>
  <c r="K774" i="17"/>
  <c r="L774" i="17"/>
  <c r="M774" i="17" s="1"/>
  <c r="I775" i="17"/>
  <c r="J775" i="17"/>
  <c r="K775" i="17"/>
  <c r="L775" i="17"/>
  <c r="M775" i="17" s="1"/>
  <c r="I776" i="17"/>
  <c r="J776" i="17"/>
  <c r="O776" i="17" s="1" a="1"/>
  <c r="O776" i="17" s="1"/>
  <c r="K776" i="17"/>
  <c r="L776" i="17"/>
  <c r="M776" i="17" s="1"/>
  <c r="I777" i="17"/>
  <c r="J777" i="17"/>
  <c r="O777" i="17" s="1" a="1"/>
  <c r="O777" i="17" s="1"/>
  <c r="K777" i="17"/>
  <c r="L777" i="17"/>
  <c r="I778" i="17"/>
  <c r="J778" i="17"/>
  <c r="O778" i="17" s="1" a="1"/>
  <c r="O778" i="17" s="1"/>
  <c r="K778" i="17"/>
  <c r="L778" i="17"/>
  <c r="I779" i="17"/>
  <c r="J779" i="17"/>
  <c r="O779" i="17" s="1" a="1"/>
  <c r="O779" i="17" s="1"/>
  <c r="K779" i="17"/>
  <c r="L779" i="17"/>
  <c r="M779" i="17" s="1"/>
  <c r="I780" i="17"/>
  <c r="J780" i="17"/>
  <c r="O780" i="17" s="1" a="1"/>
  <c r="O780" i="17" s="1"/>
  <c r="K780" i="17"/>
  <c r="L780" i="17"/>
  <c r="I781" i="17"/>
  <c r="J781" i="17"/>
  <c r="O781" i="17" s="1" a="1"/>
  <c r="O781" i="17" s="1"/>
  <c r="K781" i="17"/>
  <c r="L781" i="17"/>
  <c r="I782" i="17"/>
  <c r="J782" i="17"/>
  <c r="O782" i="17" s="1" a="1"/>
  <c r="O782" i="17" s="1"/>
  <c r="K782" i="17"/>
  <c r="L782" i="17"/>
  <c r="M782" i="17" s="1"/>
  <c r="I783" i="17"/>
  <c r="J783" i="17"/>
  <c r="O783" i="17" s="1" a="1"/>
  <c r="O783" i="17" s="1"/>
  <c r="K783" i="17"/>
  <c r="L783" i="17"/>
  <c r="M783" i="17" s="1"/>
  <c r="I784" i="17"/>
  <c r="J784" i="17"/>
  <c r="O784" i="17" s="1" a="1"/>
  <c r="O784" i="17" s="1"/>
  <c r="K784" i="17"/>
  <c r="L784" i="17"/>
  <c r="I785" i="17"/>
  <c r="J785" i="17"/>
  <c r="O785" i="17" s="1" a="1"/>
  <c r="O785" i="17" s="1"/>
  <c r="K785" i="17"/>
  <c r="L785" i="17"/>
  <c r="M785" i="17" s="1"/>
  <c r="I786" i="17"/>
  <c r="J786" i="17"/>
  <c r="K786" i="17"/>
  <c r="L786" i="17"/>
  <c r="M786" i="17" s="1"/>
  <c r="I787" i="17"/>
  <c r="J787" i="17"/>
  <c r="K787" i="17"/>
  <c r="L787" i="17"/>
  <c r="M787" i="17" s="1"/>
  <c r="I788" i="17"/>
  <c r="J788" i="17"/>
  <c r="O788" i="17" s="1" a="1"/>
  <c r="O788" i="17" s="1"/>
  <c r="K788" i="17"/>
  <c r="L788" i="17"/>
  <c r="M788" i="17" s="1"/>
  <c r="I789" i="17"/>
  <c r="J789" i="17"/>
  <c r="K789" i="17"/>
  <c r="L789" i="17"/>
  <c r="I790" i="17"/>
  <c r="J790" i="17"/>
  <c r="K790" i="17"/>
  <c r="L790" i="17"/>
  <c r="I791" i="17"/>
  <c r="J791" i="17"/>
  <c r="K791" i="17"/>
  <c r="L791" i="17"/>
  <c r="M791" i="17" s="1"/>
  <c r="I792" i="17"/>
  <c r="J792" i="17"/>
  <c r="K792" i="17"/>
  <c r="L792" i="17"/>
  <c r="M792" i="17" s="1"/>
  <c r="I793" i="17"/>
  <c r="J793" i="17"/>
  <c r="K793" i="17"/>
  <c r="L793" i="17"/>
  <c r="M793" i="17" s="1"/>
  <c r="I794" i="17"/>
  <c r="J794" i="17"/>
  <c r="O794" i="17" s="1" a="1"/>
  <c r="K794" i="17"/>
  <c r="L794" i="17"/>
  <c r="M794" i="17" s="1"/>
  <c r="I795" i="17"/>
  <c r="J795" i="17"/>
  <c r="K795" i="17"/>
  <c r="L795" i="17"/>
  <c r="M795" i="17" s="1"/>
  <c r="I796" i="17"/>
  <c r="J796" i="17"/>
  <c r="O796" i="17" s="1" a="1"/>
  <c r="O796" i="17" s="1"/>
  <c r="K796" i="17"/>
  <c r="L796" i="17"/>
  <c r="M796" i="17" s="1"/>
  <c r="I797" i="17"/>
  <c r="J797" i="17"/>
  <c r="O797" i="17" s="1" a="1"/>
  <c r="O797" i="17" s="1"/>
  <c r="K797" i="17"/>
  <c r="L797" i="17"/>
  <c r="M797" i="17" s="1"/>
  <c r="I798" i="17"/>
  <c r="J798" i="17"/>
  <c r="O798" i="17" s="1" a="1"/>
  <c r="O798" i="17" s="1"/>
  <c r="K798" i="17"/>
  <c r="L798" i="17"/>
  <c r="M798" i="17" s="1"/>
  <c r="I799" i="17"/>
  <c r="J799" i="17"/>
  <c r="O799" i="17" s="1" a="1"/>
  <c r="O799" i="17" s="1"/>
  <c r="K799" i="17"/>
  <c r="L799" i="17"/>
  <c r="M799" i="17" s="1"/>
  <c r="I800" i="17"/>
  <c r="J800" i="17"/>
  <c r="O800" i="17" s="1" a="1"/>
  <c r="O800" i="17" s="1"/>
  <c r="K800" i="17"/>
  <c r="L800" i="17"/>
  <c r="M800" i="17" s="1"/>
  <c r="I801" i="17"/>
  <c r="J801" i="17"/>
  <c r="O801" i="17" s="1" a="1"/>
  <c r="O801" i="17" s="1"/>
  <c r="K801" i="17"/>
  <c r="L801" i="17"/>
  <c r="M801" i="17" s="1"/>
  <c r="I802" i="17"/>
  <c r="J802" i="17"/>
  <c r="O802" i="17" s="1" a="1"/>
  <c r="O802" i="17" s="1"/>
  <c r="K802" i="17"/>
  <c r="L802" i="17"/>
  <c r="I803" i="17"/>
  <c r="J803" i="17"/>
  <c r="O803" i="17" s="1" a="1"/>
  <c r="O803" i="17" s="1"/>
  <c r="K803" i="17"/>
  <c r="L803" i="17"/>
  <c r="M803" i="17" s="1"/>
  <c r="I804" i="17"/>
  <c r="J804" i="17"/>
  <c r="O804" i="17" s="1" a="1"/>
  <c r="O804" i="17" s="1"/>
  <c r="K804" i="17"/>
  <c r="L804" i="17"/>
  <c r="M804" i="17" s="1"/>
  <c r="I805" i="17"/>
  <c r="J805" i="17"/>
  <c r="O805" i="17" s="1" a="1"/>
  <c r="O805" i="17" s="1"/>
  <c r="K805" i="17"/>
  <c r="L805" i="17"/>
  <c r="I806" i="17"/>
  <c r="J806" i="17"/>
  <c r="K806" i="17"/>
  <c r="L806" i="17"/>
  <c r="I807" i="17"/>
  <c r="J807" i="17"/>
  <c r="O807" i="17" s="1" a="1"/>
  <c r="O807" i="17" s="1"/>
  <c r="K807" i="17"/>
  <c r="L807" i="17"/>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I813" i="17"/>
  <c r="J813" i="17"/>
  <c r="O813" i="17" s="1" a="1"/>
  <c r="O813" i="17" s="1"/>
  <c r="K813" i="17"/>
  <c r="L813" i="17"/>
  <c r="I814" i="17"/>
  <c r="J814" i="17"/>
  <c r="O814" i="17" s="1" a="1"/>
  <c r="K814" i="17"/>
  <c r="L814" i="17"/>
  <c r="I815" i="17"/>
  <c r="J815" i="17"/>
  <c r="O815" i="17" s="1" a="1"/>
  <c r="O815" i="17" s="1"/>
  <c r="K815" i="17"/>
  <c r="L815" i="17"/>
  <c r="I816" i="17"/>
  <c r="J816" i="17"/>
  <c r="K816" i="17"/>
  <c r="L816" i="17"/>
  <c r="M816" i="17" s="1"/>
  <c r="I817" i="17"/>
  <c r="J817" i="17"/>
  <c r="O817" i="17" s="1" a="1"/>
  <c r="K817" i="17"/>
  <c r="L817" i="17"/>
  <c r="I818" i="17"/>
  <c r="J818" i="17"/>
  <c r="O818" i="17" s="1" a="1"/>
  <c r="O818" i="17" s="1"/>
  <c r="K818" i="17"/>
  <c r="L818" i="17"/>
  <c r="M818" i="17" s="1"/>
  <c r="I819" i="17"/>
  <c r="J819" i="17"/>
  <c r="O819" i="17" s="1" a="1"/>
  <c r="O819" i="17" s="1"/>
  <c r="K819" i="17"/>
  <c r="L819" i="17"/>
  <c r="M819" i="17" s="1"/>
  <c r="I820" i="17"/>
  <c r="J820" i="17"/>
  <c r="K820" i="17"/>
  <c r="L820" i="17"/>
  <c r="M820" i="17" s="1"/>
  <c r="I821" i="17"/>
  <c r="J821" i="17"/>
  <c r="O821" i="17" s="1" a="1"/>
  <c r="O821" i="17" s="1"/>
  <c r="K821" i="17"/>
  <c r="L821" i="17"/>
  <c r="M821" i="17" s="1"/>
  <c r="I822" i="17"/>
  <c r="J822" i="17"/>
  <c r="O822" i="17" s="1" a="1"/>
  <c r="O822" i="17" s="1"/>
  <c r="K822" i="17"/>
  <c r="L822" i="17"/>
  <c r="M822" i="17" s="1"/>
  <c r="I823" i="17"/>
  <c r="J823" i="17"/>
  <c r="O823" i="17" s="1" a="1"/>
  <c r="O823" i="17" s="1"/>
  <c r="K823" i="17"/>
  <c r="L823" i="17"/>
  <c r="M823" i="17" s="1"/>
  <c r="I824" i="17"/>
  <c r="J824" i="17"/>
  <c r="O824" i="17" s="1" a="1"/>
  <c r="O824" i="17" s="1"/>
  <c r="K824" i="17"/>
  <c r="L824" i="17"/>
  <c r="M824" i="17" s="1"/>
  <c r="I825" i="17"/>
  <c r="J825" i="17"/>
  <c r="O825" i="17" s="1" a="1"/>
  <c r="O825" i="17" s="1"/>
  <c r="K825" i="17"/>
  <c r="L825" i="17"/>
  <c r="M825" i="17" s="1"/>
  <c r="I826" i="17"/>
  <c r="J826" i="17"/>
  <c r="O826" i="17" s="1" a="1"/>
  <c r="K826" i="17"/>
  <c r="L826" i="17"/>
  <c r="M826" i="17" s="1"/>
  <c r="I827" i="17"/>
  <c r="J827" i="17"/>
  <c r="O827" i="17" s="1" a="1"/>
  <c r="K827" i="17"/>
  <c r="L827" i="17"/>
  <c r="I828" i="17"/>
  <c r="J828" i="17"/>
  <c r="O828" i="17" s="1" a="1"/>
  <c r="O828" i="17" s="1"/>
  <c r="K828" i="17"/>
  <c r="L828" i="17"/>
  <c r="I829" i="17"/>
  <c r="J829" i="17"/>
  <c r="K829" i="17"/>
  <c r="L829" i="17"/>
  <c r="M829" i="17" s="1"/>
  <c r="I830" i="17"/>
  <c r="J830" i="17"/>
  <c r="O830" i="17" s="1" a="1"/>
  <c r="O830" i="17" s="1"/>
  <c r="K830" i="17"/>
  <c r="L830" i="17"/>
  <c r="M830" i="17" s="1"/>
  <c r="I831" i="17"/>
  <c r="J831" i="17"/>
  <c r="O831" i="17" s="1" a="1"/>
  <c r="O831" i="17" s="1"/>
  <c r="K831" i="17"/>
  <c r="L831" i="17"/>
  <c r="I832" i="17"/>
  <c r="J832" i="17"/>
  <c r="O832" i="17" s="1" a="1"/>
  <c r="O832" i="17" s="1"/>
  <c r="K832" i="17"/>
  <c r="L832" i="17"/>
  <c r="I833" i="17"/>
  <c r="J833" i="17"/>
  <c r="O833" i="17" s="1" a="1"/>
  <c r="O833" i="17" s="1"/>
  <c r="K833" i="17"/>
  <c r="L833" i="17"/>
  <c r="M833" i="17" s="1"/>
  <c r="I834" i="17"/>
  <c r="J834" i="17"/>
  <c r="O834" i="17" s="1" a="1"/>
  <c r="K834" i="17"/>
  <c r="L834" i="17"/>
  <c r="M834" i="17" s="1"/>
  <c r="I835" i="17"/>
  <c r="J835" i="17"/>
  <c r="O835" i="17" s="1" a="1"/>
  <c r="K835" i="17"/>
  <c r="L835" i="17"/>
  <c r="M835" i="17" s="1"/>
  <c r="I836" i="17"/>
  <c r="J836" i="17"/>
  <c r="O836" i="17" s="1" a="1"/>
  <c r="O836" i="17" s="1"/>
  <c r="K836" i="17"/>
  <c r="L836" i="17"/>
  <c r="M836" i="17" s="1"/>
  <c r="I837" i="17"/>
  <c r="J837" i="17"/>
  <c r="O837" i="17" s="1" a="1"/>
  <c r="O837" i="17" s="1"/>
  <c r="K837" i="17"/>
  <c r="L837" i="17"/>
  <c r="I838" i="17"/>
  <c r="J838" i="17"/>
  <c r="O838" i="17" s="1" a="1"/>
  <c r="K838" i="17"/>
  <c r="L838" i="17"/>
  <c r="I839" i="17"/>
  <c r="J839" i="17"/>
  <c r="K839" i="17"/>
  <c r="L839" i="17"/>
  <c r="M839" i="17" s="1"/>
  <c r="I840" i="17"/>
  <c r="J840" i="17"/>
  <c r="K840" i="17"/>
  <c r="L840" i="17"/>
  <c r="M840" i="17" s="1"/>
  <c r="I841" i="17"/>
  <c r="J841" i="17"/>
  <c r="O841" i="17" s="1" a="1"/>
  <c r="O841" i="17" s="1"/>
  <c r="K841" i="17"/>
  <c r="L841" i="17"/>
  <c r="I842" i="17"/>
  <c r="J842" i="17"/>
  <c r="O842" i="17" s="1" a="1"/>
  <c r="O842" i="17" s="1"/>
  <c r="K842" i="17"/>
  <c r="L842" i="17"/>
  <c r="I843" i="17"/>
  <c r="J843" i="17"/>
  <c r="O843" i="17" s="1" a="1"/>
  <c r="O843" i="17" s="1"/>
  <c r="K843" i="17"/>
  <c r="L843" i="17"/>
  <c r="M843" i="17" s="1"/>
  <c r="I844" i="17"/>
  <c r="J844" i="17"/>
  <c r="O844" i="17" s="1" a="1"/>
  <c r="O844" i="17" s="1"/>
  <c r="K844" i="17"/>
  <c r="L844" i="17"/>
  <c r="M844" i="17" s="1"/>
  <c r="I845" i="17"/>
  <c r="J845" i="17"/>
  <c r="O845" i="17" s="1" a="1"/>
  <c r="O845" i="17" s="1"/>
  <c r="K845" i="17"/>
  <c r="L845" i="17"/>
  <c r="M845" i="17" s="1"/>
  <c r="I846" i="17"/>
  <c r="J846" i="17"/>
  <c r="O846" i="17" s="1" a="1"/>
  <c r="O846" i="17" s="1"/>
  <c r="K846" i="17"/>
  <c r="L846" i="17"/>
  <c r="M846" i="17" s="1"/>
  <c r="I847" i="17"/>
  <c r="J847" i="17"/>
  <c r="O847" i="17" s="1" a="1"/>
  <c r="O847" i="17" s="1"/>
  <c r="K847" i="17"/>
  <c r="L847" i="17"/>
  <c r="M847" i="17" s="1"/>
  <c r="I848" i="17"/>
  <c r="J848" i="17"/>
  <c r="O848" i="17" s="1" a="1"/>
  <c r="O848" i="17" s="1"/>
  <c r="K848" i="17"/>
  <c r="L848" i="17"/>
  <c r="M848" i="17" s="1"/>
  <c r="I849" i="17"/>
  <c r="J849" i="17"/>
  <c r="O849" i="17" s="1" a="1"/>
  <c r="K849" i="17"/>
  <c r="L849" i="17"/>
  <c r="M849" i="17" s="1"/>
  <c r="I850" i="17"/>
  <c r="J850" i="17"/>
  <c r="K850" i="17"/>
  <c r="L850" i="17"/>
  <c r="M850" i="17" s="1"/>
  <c r="I851" i="17"/>
  <c r="J851" i="17"/>
  <c r="O851" i="17" s="1" a="1"/>
  <c r="O851" i="17" s="1"/>
  <c r="K851" i="17"/>
  <c r="L851" i="17"/>
  <c r="M851" i="17" s="1"/>
  <c r="I852" i="17"/>
  <c r="J852" i="17"/>
  <c r="O852" i="17" s="1" a="1"/>
  <c r="K852" i="17"/>
  <c r="L852" i="17"/>
  <c r="M852" i="17" s="1"/>
  <c r="I853" i="17"/>
  <c r="J853" i="17"/>
  <c r="K853" i="17"/>
  <c r="L853" i="17"/>
  <c r="I854" i="17"/>
  <c r="J854" i="17"/>
  <c r="K854" i="17"/>
  <c r="L854" i="17"/>
  <c r="M854" i="17" s="1"/>
  <c r="I855" i="17"/>
  <c r="J855" i="17"/>
  <c r="O855" i="17" s="1" a="1"/>
  <c r="O855" i="17" s="1"/>
  <c r="K855" i="17"/>
  <c r="L855" i="17"/>
  <c r="I856" i="17"/>
  <c r="J856" i="17"/>
  <c r="O856" i="17" s="1" a="1"/>
  <c r="O856" i="17" s="1"/>
  <c r="K856" i="17"/>
  <c r="L856" i="17"/>
  <c r="I857" i="17"/>
  <c r="J857" i="17"/>
  <c r="O857" i="17" s="1" a="1"/>
  <c r="O857" i="17" s="1"/>
  <c r="K857" i="17"/>
  <c r="L857" i="17"/>
  <c r="M857" i="17" s="1"/>
  <c r="I858" i="17"/>
  <c r="J858" i="17"/>
  <c r="K858" i="17"/>
  <c r="L858" i="17"/>
  <c r="M858" i="17" s="1"/>
  <c r="I859" i="17"/>
  <c r="J859" i="17"/>
  <c r="K859" i="17"/>
  <c r="L859" i="17"/>
  <c r="M859" i="17" s="1"/>
  <c r="I860" i="17"/>
  <c r="J860" i="17"/>
  <c r="K860" i="17"/>
  <c r="L860" i="17"/>
  <c r="I861" i="17"/>
  <c r="J861" i="17"/>
  <c r="K861" i="17"/>
  <c r="L861" i="17"/>
  <c r="I862" i="17"/>
  <c r="J862" i="17"/>
  <c r="O862" i="17" s="1" a="1"/>
  <c r="O862" i="17" s="1"/>
  <c r="K862" i="17"/>
  <c r="L862" i="17"/>
  <c r="I863" i="17"/>
  <c r="J863" i="17"/>
  <c r="O863" i="17" s="1" a="1"/>
  <c r="O863" i="17" s="1"/>
  <c r="K863" i="17"/>
  <c r="L863" i="17"/>
  <c r="I864" i="17"/>
  <c r="J864" i="17"/>
  <c r="O864" i="17" s="1" a="1"/>
  <c r="O864" i="17" s="1"/>
  <c r="K864" i="17"/>
  <c r="L864" i="17"/>
  <c r="M864" i="17" s="1"/>
  <c r="I865" i="17"/>
  <c r="J865" i="17"/>
  <c r="O865" i="17" s="1" a="1"/>
  <c r="O865" i="17" s="1"/>
  <c r="K865" i="17"/>
  <c r="L865" i="17"/>
  <c r="I866" i="17"/>
  <c r="J866" i="17"/>
  <c r="O866" i="17" s="1" a="1"/>
  <c r="O866" i="17" s="1"/>
  <c r="K866" i="17"/>
  <c r="L866" i="17"/>
  <c r="I867" i="17"/>
  <c r="J867" i="17"/>
  <c r="O867" i="17" s="1" a="1"/>
  <c r="O867" i="17" s="1"/>
  <c r="K867" i="17"/>
  <c r="L867" i="17"/>
  <c r="I868" i="17"/>
  <c r="J868" i="17"/>
  <c r="O868" i="17" s="1" a="1"/>
  <c r="O868" i="17" s="1"/>
  <c r="K868" i="17"/>
  <c r="L868" i="17"/>
  <c r="M868" i="17" s="1"/>
  <c r="I869" i="17"/>
  <c r="J869" i="17"/>
  <c r="O869" i="17" s="1" a="1"/>
  <c r="O869" i="17" s="1"/>
  <c r="K869" i="17"/>
  <c r="L869" i="17"/>
  <c r="M869" i="17" s="1"/>
  <c r="I870" i="17"/>
  <c r="J870" i="17"/>
  <c r="K870" i="17"/>
  <c r="L870" i="17"/>
  <c r="M870" i="17" s="1"/>
  <c r="I871" i="17"/>
  <c r="J871" i="17"/>
  <c r="O871" i="17" s="1" a="1"/>
  <c r="O871" i="17" s="1"/>
  <c r="K871" i="17"/>
  <c r="L871" i="17"/>
  <c r="M871" i="17" s="1"/>
  <c r="I872" i="17"/>
  <c r="J872" i="17"/>
  <c r="O872" i="17" s="1" a="1"/>
  <c r="O872" i="17" s="1"/>
  <c r="K872" i="17"/>
  <c r="L872" i="17"/>
  <c r="M872" i="17" s="1"/>
  <c r="I873" i="17"/>
  <c r="J873" i="17"/>
  <c r="O873" i="17" s="1" a="1"/>
  <c r="O873" i="17" s="1"/>
  <c r="K873" i="17"/>
  <c r="L873" i="17"/>
  <c r="M873" i="17" s="1"/>
  <c r="I874" i="17"/>
  <c r="J874" i="17"/>
  <c r="K874" i="17"/>
  <c r="L874" i="17"/>
  <c r="M874" i="17" s="1"/>
  <c r="I875" i="17"/>
  <c r="J875" i="17"/>
  <c r="O875" i="17" s="1" a="1"/>
  <c r="K875" i="17"/>
  <c r="L875" i="17"/>
  <c r="M875" i="17" s="1"/>
  <c r="I876" i="17"/>
  <c r="J876" i="17"/>
  <c r="O876" i="17" s="1" a="1"/>
  <c r="O876" i="17" s="1"/>
  <c r="K876" i="17"/>
  <c r="L876" i="17"/>
  <c r="M876" i="17" s="1"/>
  <c r="I877" i="17"/>
  <c r="J877" i="17"/>
  <c r="O877" i="17" s="1" a="1"/>
  <c r="O877" i="17" s="1"/>
  <c r="K877" i="17"/>
  <c r="L877" i="17"/>
  <c r="M877" i="17" s="1"/>
  <c r="I878" i="17"/>
  <c r="J878" i="17"/>
  <c r="O878" i="17" s="1" a="1"/>
  <c r="O878" i="17" s="1"/>
  <c r="K878" i="17"/>
  <c r="L878" i="17"/>
  <c r="M878" i="17" s="1"/>
  <c r="I879" i="17"/>
  <c r="J879" i="17"/>
  <c r="O879" i="17" s="1" a="1"/>
  <c r="O879" i="17" s="1"/>
  <c r="K879" i="17"/>
  <c r="L879" i="17"/>
  <c r="M879" i="17" s="1"/>
  <c r="I880" i="17"/>
  <c r="J880" i="17"/>
  <c r="K880" i="17"/>
  <c r="L880" i="17"/>
  <c r="I881" i="17"/>
  <c r="J881" i="17"/>
  <c r="K881" i="17"/>
  <c r="L881" i="17"/>
  <c r="M881" i="17" s="1"/>
  <c r="I882" i="17"/>
  <c r="J882" i="17"/>
  <c r="O882" i="17" s="1" a="1"/>
  <c r="K882" i="17"/>
  <c r="L882" i="17"/>
  <c r="M882" i="17" s="1"/>
  <c r="I883" i="17"/>
  <c r="J883" i="17"/>
  <c r="K883" i="17"/>
  <c r="L883" i="17"/>
  <c r="M883" i="17" s="1"/>
  <c r="I884" i="17"/>
  <c r="J884" i="17"/>
  <c r="O884" i="17" s="1" a="1"/>
  <c r="O884" i="17" s="1"/>
  <c r="K884" i="17"/>
  <c r="L884" i="17"/>
  <c r="M884" i="17" s="1"/>
  <c r="I885" i="17"/>
  <c r="J885" i="17"/>
  <c r="O885" i="17" s="1" a="1"/>
  <c r="O885" i="17" s="1"/>
  <c r="K885" i="17"/>
  <c r="L885" i="17"/>
  <c r="I886" i="17"/>
  <c r="J886" i="17"/>
  <c r="O886" i="17" s="1" a="1"/>
  <c r="O886" i="17" s="1"/>
  <c r="K886" i="17"/>
  <c r="L886" i="17"/>
  <c r="I887" i="17"/>
  <c r="J887" i="17"/>
  <c r="O887" i="17" s="1" a="1"/>
  <c r="O887" i="17" s="1"/>
  <c r="K887" i="17"/>
  <c r="L887" i="17"/>
  <c r="M887" i="17" s="1"/>
  <c r="I888" i="17"/>
  <c r="J888" i="17"/>
  <c r="O888" i="17" s="1" a="1"/>
  <c r="O888" i="17" s="1"/>
  <c r="K888" i="17"/>
  <c r="L888" i="17"/>
  <c r="M888" i="17" s="1"/>
  <c r="I889" i="17"/>
  <c r="J889" i="17"/>
  <c r="O889" i="17" s="1" a="1"/>
  <c r="O889" i="17" s="1"/>
  <c r="K889" i="17"/>
  <c r="L889" i="17"/>
  <c r="I890" i="17"/>
  <c r="J890" i="17"/>
  <c r="O890" i="17" s="1" a="1"/>
  <c r="K890" i="17"/>
  <c r="L890" i="17"/>
  <c r="I891" i="17"/>
  <c r="J891" i="17"/>
  <c r="K891" i="17"/>
  <c r="L891" i="17"/>
  <c r="I892" i="17"/>
  <c r="J892" i="17"/>
  <c r="O892" i="17" s="1" a="1"/>
  <c r="O892" i="17" s="1"/>
  <c r="K892" i="17"/>
  <c r="L892" i="17"/>
  <c r="I893" i="17"/>
  <c r="J893" i="17"/>
  <c r="O893" i="17" s="1" a="1"/>
  <c r="O893" i="17" s="1"/>
  <c r="K893" i="17"/>
  <c r="L893" i="17"/>
  <c r="M893" i="17" s="1"/>
  <c r="I894" i="17"/>
  <c r="J894" i="17"/>
  <c r="O894" i="17" s="1" a="1"/>
  <c r="O894" i="17" s="1"/>
  <c r="K894" i="17"/>
  <c r="L894" i="17"/>
  <c r="M894" i="17" s="1"/>
  <c r="I895" i="17"/>
  <c r="J895" i="17"/>
  <c r="O895" i="17" s="1" a="1"/>
  <c r="O895" i="17" s="1"/>
  <c r="K895" i="17"/>
  <c r="L895" i="17"/>
  <c r="M895" i="17" s="1"/>
  <c r="I896" i="17"/>
  <c r="J896" i="17"/>
  <c r="K896" i="17"/>
  <c r="L896" i="17"/>
  <c r="M896" i="17" s="1"/>
  <c r="I897" i="17"/>
  <c r="J897" i="17"/>
  <c r="K897" i="17"/>
  <c r="L897" i="17"/>
  <c r="M897" i="17" s="1"/>
  <c r="I898" i="17"/>
  <c r="J898" i="17"/>
  <c r="O898" i="17" s="1" a="1"/>
  <c r="K898" i="17"/>
  <c r="L898" i="17"/>
  <c r="M898" i="17" s="1"/>
  <c r="I899" i="17"/>
  <c r="J899" i="17"/>
  <c r="O899" i="17" s="1" a="1"/>
  <c r="K899" i="17"/>
  <c r="L899" i="17"/>
  <c r="M899" i="17" s="1"/>
  <c r="I900" i="17"/>
  <c r="J900" i="17"/>
  <c r="O900" i="17" s="1" a="1"/>
  <c r="K900" i="17"/>
  <c r="L900" i="17"/>
  <c r="M900" i="17" s="1"/>
  <c r="I901" i="17"/>
  <c r="J901" i="17"/>
  <c r="K901" i="17"/>
  <c r="L901" i="17"/>
  <c r="M901" i="17" s="1"/>
  <c r="I902" i="17"/>
  <c r="J902" i="17"/>
  <c r="K902" i="17"/>
  <c r="L902" i="17"/>
  <c r="I903" i="17"/>
  <c r="J903" i="17"/>
  <c r="O903" i="17" s="1" a="1"/>
  <c r="O903" i="17" s="1"/>
  <c r="K903" i="17"/>
  <c r="L903" i="17"/>
  <c r="I904" i="17"/>
  <c r="J904" i="17"/>
  <c r="O904" i="17" s="1" a="1"/>
  <c r="O904" i="17" s="1"/>
  <c r="K904" i="17"/>
  <c r="L904" i="17"/>
  <c r="M904" i="17" s="1"/>
  <c r="I905" i="17"/>
  <c r="J905" i="17"/>
  <c r="O905" i="17" s="1" a="1"/>
  <c r="O905" i="17" s="1"/>
  <c r="K905" i="17"/>
  <c r="L905" i="17"/>
  <c r="M905" i="17" s="1"/>
  <c r="I906" i="17"/>
  <c r="J906" i="17"/>
  <c r="O906" i="17" s="1" a="1"/>
  <c r="O906" i="17" s="1"/>
  <c r="K906" i="17"/>
  <c r="L906" i="17"/>
  <c r="M906" i="17" s="1"/>
  <c r="I907" i="17"/>
  <c r="J907" i="17"/>
  <c r="O907" i="17" s="1" a="1"/>
  <c r="O907" i="17" s="1"/>
  <c r="K907" i="17"/>
  <c r="L907" i="17"/>
  <c r="I908" i="17"/>
  <c r="J908" i="17"/>
  <c r="O908" i="17" s="1" a="1"/>
  <c r="O908" i="17" s="1"/>
  <c r="K908" i="17"/>
  <c r="L908" i="17"/>
  <c r="M908" i="17" s="1"/>
  <c r="I909" i="17"/>
  <c r="J909" i="17"/>
  <c r="O909" i="17" s="1" a="1"/>
  <c r="O909" i="17" s="1"/>
  <c r="K909" i="17"/>
  <c r="L909" i="17"/>
  <c r="I910" i="17"/>
  <c r="J910" i="17"/>
  <c r="O910" i="17" s="1" a="1"/>
  <c r="O910" i="17" s="1"/>
  <c r="K910" i="17"/>
  <c r="L910" i="17"/>
  <c r="I911" i="17"/>
  <c r="J911" i="17"/>
  <c r="O911" i="17" s="1" a="1"/>
  <c r="O911" i="17" s="1"/>
  <c r="K911" i="17"/>
  <c r="L911" i="17"/>
  <c r="I912" i="17"/>
  <c r="J912" i="17"/>
  <c r="O912" i="17" s="1" a="1"/>
  <c r="O912" i="17" s="1"/>
  <c r="K912" i="17"/>
  <c r="L912" i="17"/>
  <c r="I913" i="17"/>
  <c r="J913" i="17"/>
  <c r="O913" i="17" s="1" a="1"/>
  <c r="K913" i="17"/>
  <c r="L913" i="17"/>
  <c r="I914" i="17"/>
  <c r="J914" i="17"/>
  <c r="O914" i="17" s="1" a="1"/>
  <c r="O914" i="17" s="1"/>
  <c r="K914" i="17"/>
  <c r="L914" i="17"/>
  <c r="I915" i="17"/>
  <c r="J915" i="17"/>
  <c r="O915" i="17" s="1" a="1"/>
  <c r="O915" i="17" s="1"/>
  <c r="K915" i="17"/>
  <c r="L915" i="17"/>
  <c r="I916" i="17"/>
  <c r="J916" i="17"/>
  <c r="K916" i="17"/>
  <c r="L916" i="17"/>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O924" i="17" s="1" a="1"/>
  <c r="O924" i="17" s="1"/>
  <c r="K924" i="17"/>
  <c r="L924" i="17"/>
  <c r="M924" i="17" s="1"/>
  <c r="I925" i="17"/>
  <c r="J925" i="17"/>
  <c r="O925" i="17" s="1" a="1"/>
  <c r="O925" i="17" s="1"/>
  <c r="K925" i="17"/>
  <c r="L925" i="17"/>
  <c r="M925" i="17" s="1"/>
  <c r="I926" i="17"/>
  <c r="J926" i="17"/>
  <c r="O926" i="17" s="1" a="1"/>
  <c r="O926" i="17" s="1"/>
  <c r="K926" i="17"/>
  <c r="L926" i="17"/>
  <c r="M926" i="17" s="1"/>
  <c r="I927" i="17"/>
  <c r="J927" i="17"/>
  <c r="O927" i="17" s="1" a="1"/>
  <c r="O927" i="17" s="1"/>
  <c r="K927" i="17"/>
  <c r="L927" i="17"/>
  <c r="I928" i="17"/>
  <c r="J928" i="17"/>
  <c r="O928" i="17" s="1" a="1"/>
  <c r="O928" i="17" s="1"/>
  <c r="K928" i="17"/>
  <c r="L928" i="17"/>
  <c r="M928" i="17" s="1"/>
  <c r="I929" i="17"/>
  <c r="J929" i="17"/>
  <c r="O929" i="17" s="1" a="1"/>
  <c r="O929" i="17" s="1"/>
  <c r="K929" i="17"/>
  <c r="L929" i="17"/>
  <c r="M929" i="17" s="1"/>
  <c r="I930" i="17"/>
  <c r="J930" i="17"/>
  <c r="O930" i="17" s="1" a="1"/>
  <c r="O930" i="17" s="1"/>
  <c r="K930" i="17"/>
  <c r="L930" i="17"/>
  <c r="M930" i="17" s="1"/>
  <c r="I931" i="17"/>
  <c r="J931" i="17"/>
  <c r="O931" i="17" s="1" a="1"/>
  <c r="O931" i="17" s="1"/>
  <c r="K931" i="17"/>
  <c r="L931" i="17"/>
  <c r="I932" i="17"/>
  <c r="J932" i="17"/>
  <c r="O932" i="17" s="1" a="1"/>
  <c r="O932" i="17" s="1"/>
  <c r="K932" i="17"/>
  <c r="L932" i="17"/>
  <c r="M932" i="17" s="1"/>
  <c r="I933" i="17"/>
  <c r="J933" i="17"/>
  <c r="O933" i="17" s="1" a="1"/>
  <c r="O933" i="17" s="1"/>
  <c r="K933" i="17"/>
  <c r="L933" i="17"/>
  <c r="I934" i="17"/>
  <c r="J934" i="17"/>
  <c r="K934" i="17"/>
  <c r="L934" i="17"/>
  <c r="I935" i="17"/>
  <c r="J935" i="17"/>
  <c r="O935" i="17" s="1" a="1"/>
  <c r="K935" i="17"/>
  <c r="L935" i="17"/>
  <c r="M935" i="17" s="1"/>
  <c r="I936" i="17"/>
  <c r="J936" i="17"/>
  <c r="K936" i="17"/>
  <c r="L936" i="17"/>
  <c r="M936" i="17" s="1"/>
  <c r="I937" i="17"/>
  <c r="J937" i="17"/>
  <c r="O937" i="17" s="1" a="1"/>
  <c r="O937" i="17" s="1"/>
  <c r="K937" i="17"/>
  <c r="L937" i="17"/>
  <c r="I938" i="17"/>
  <c r="J938" i="17"/>
  <c r="K938" i="17"/>
  <c r="L938" i="17"/>
  <c r="I939" i="17"/>
  <c r="J939" i="17"/>
  <c r="O939" i="17" s="1" a="1"/>
  <c r="O939" i="17" s="1"/>
  <c r="K939" i="17"/>
  <c r="L939" i="17"/>
  <c r="I940" i="17"/>
  <c r="J940" i="17"/>
  <c r="O940" i="17" s="1" a="1"/>
  <c r="O940" i="17" s="1"/>
  <c r="K940" i="17"/>
  <c r="L940" i="17"/>
  <c r="I941" i="17"/>
  <c r="J941" i="17"/>
  <c r="K941" i="17"/>
  <c r="L941" i="17"/>
  <c r="M941" i="17" s="1"/>
  <c r="I942" i="17"/>
  <c r="J942" i="17"/>
  <c r="K942" i="17"/>
  <c r="L942" i="17"/>
  <c r="M942" i="17" s="1"/>
  <c r="I943" i="17"/>
  <c r="J943" i="17"/>
  <c r="O943" i="17" s="1" a="1"/>
  <c r="O943" i="17" s="1"/>
  <c r="K943" i="17"/>
  <c r="L943" i="17"/>
  <c r="M943" i="17" s="1"/>
  <c r="I944" i="17"/>
  <c r="J944" i="17"/>
  <c r="O944" i="17" s="1" a="1"/>
  <c r="O944" i="17" s="1"/>
  <c r="K944" i="17"/>
  <c r="L944" i="17"/>
  <c r="M944" i="17" s="1"/>
  <c r="I945" i="17"/>
  <c r="J945" i="17"/>
  <c r="O945" i="17" s="1" a="1"/>
  <c r="O945" i="17" s="1"/>
  <c r="K945" i="17"/>
  <c r="L945" i="17"/>
  <c r="M945" i="17" s="1"/>
  <c r="I946" i="17"/>
  <c r="J946" i="17"/>
  <c r="K946" i="17"/>
  <c r="L946" i="17"/>
  <c r="M946" i="17" s="1"/>
  <c r="I947" i="17"/>
  <c r="J947" i="17"/>
  <c r="O947" i="17" s="1" a="1"/>
  <c r="O947" i="17" s="1"/>
  <c r="K947" i="17"/>
  <c r="L947" i="17"/>
  <c r="M947" i="17" s="1"/>
  <c r="I948" i="17"/>
  <c r="J948" i="17"/>
  <c r="O948" i="17" s="1" a="1"/>
  <c r="O948" i="17" s="1"/>
  <c r="K948" i="17"/>
  <c r="L948" i="17"/>
  <c r="M948" i="17" s="1"/>
  <c r="I949" i="17"/>
  <c r="J949" i="17"/>
  <c r="O949" i="17" s="1" a="1"/>
  <c r="O949" i="17" s="1"/>
  <c r="K949" i="17"/>
  <c r="L949" i="17"/>
  <c r="M949" i="17" s="1"/>
  <c r="I950" i="17"/>
  <c r="J950" i="17"/>
  <c r="O950" i="17" s="1" a="1"/>
  <c r="O950" i="17" s="1"/>
  <c r="K950" i="17"/>
  <c r="L950" i="17"/>
  <c r="I951" i="17"/>
  <c r="J951" i="17"/>
  <c r="O951" i="17" s="1" a="1"/>
  <c r="O951" i="17" s="1"/>
  <c r="K951" i="17"/>
  <c r="L951" i="17"/>
  <c r="I952" i="17"/>
  <c r="J952" i="17"/>
  <c r="O952" i="17" s="1" a="1"/>
  <c r="O952" i="17" s="1"/>
  <c r="K952" i="17"/>
  <c r="L952" i="17"/>
  <c r="M952" i="17" s="1"/>
  <c r="I953" i="17"/>
  <c r="J953" i="17"/>
  <c r="K953" i="17"/>
  <c r="L953" i="17"/>
  <c r="I954" i="17"/>
  <c r="J954" i="17"/>
  <c r="K954" i="17"/>
  <c r="L954" i="17"/>
  <c r="M954" i="17" s="1"/>
  <c r="I955" i="17"/>
  <c r="J955" i="17"/>
  <c r="K955" i="17"/>
  <c r="L955" i="17"/>
  <c r="I956" i="17"/>
  <c r="J956" i="17"/>
  <c r="O956" i="17" s="1" a="1"/>
  <c r="O956" i="17" s="1"/>
  <c r="K956" i="17"/>
  <c r="L956" i="17"/>
  <c r="M956" i="17" s="1"/>
  <c r="I957" i="17"/>
  <c r="J957" i="17"/>
  <c r="O957" i="17" s="1" a="1"/>
  <c r="O957" i="17" s="1"/>
  <c r="K957" i="17"/>
  <c r="L957" i="17"/>
  <c r="I958" i="17"/>
  <c r="J958" i="17"/>
  <c r="O958" i="17" s="1" a="1"/>
  <c r="K958" i="17"/>
  <c r="L958" i="17"/>
  <c r="I959" i="17"/>
  <c r="J959" i="17"/>
  <c r="O959" i="17" s="1" a="1"/>
  <c r="O959" i="17" s="1"/>
  <c r="K959" i="17"/>
  <c r="L959" i="17"/>
  <c r="I960" i="17"/>
  <c r="J960" i="17"/>
  <c r="K960" i="17"/>
  <c r="L960" i="17"/>
  <c r="I961" i="17"/>
  <c r="J961" i="17"/>
  <c r="K961" i="17"/>
  <c r="L961" i="17"/>
  <c r="M961" i="17" s="1"/>
  <c r="I962" i="17"/>
  <c r="J962" i="17"/>
  <c r="K962" i="17"/>
  <c r="L962" i="17"/>
  <c r="M962" i="17" s="1"/>
  <c r="I963" i="17"/>
  <c r="J963" i="17"/>
  <c r="K963" i="17"/>
  <c r="L963" i="17"/>
  <c r="I964" i="17"/>
  <c r="J964" i="17"/>
  <c r="K964" i="17"/>
  <c r="L964" i="17"/>
  <c r="I965" i="17"/>
  <c r="J965" i="17"/>
  <c r="O965" i="17" s="1" a="1"/>
  <c r="O965" i="17" s="1"/>
  <c r="K965" i="17"/>
  <c r="L965" i="17"/>
  <c r="M965" i="17" s="1"/>
  <c r="I966" i="17"/>
  <c r="J966" i="17"/>
  <c r="O966" i="17" s="1" a="1"/>
  <c r="K966" i="17"/>
  <c r="L966" i="17"/>
  <c r="M966" i="17" s="1"/>
  <c r="I967" i="17"/>
  <c r="J967" i="17"/>
  <c r="O967" i="17" s="1" a="1"/>
  <c r="O967" i="17" s="1"/>
  <c r="K967" i="17"/>
  <c r="L967" i="17"/>
  <c r="M967" i="17" s="1"/>
  <c r="I968" i="17"/>
  <c r="J968" i="17"/>
  <c r="O968" i="17" s="1" a="1"/>
  <c r="O968" i="17" s="1"/>
  <c r="K968" i="17"/>
  <c r="L968" i="17"/>
  <c r="M968" i="17" s="1"/>
  <c r="I969" i="17"/>
  <c r="J969" i="17"/>
  <c r="O969" i="17" s="1" a="1"/>
  <c r="O969" i="17" s="1"/>
  <c r="K969" i="17"/>
  <c r="L969" i="17"/>
  <c r="M969" i="17" s="1"/>
  <c r="I970" i="17"/>
  <c r="J970" i="17"/>
  <c r="O970" i="17" s="1" a="1"/>
  <c r="O970" i="17" s="1"/>
  <c r="K970" i="17"/>
  <c r="L970" i="17"/>
  <c r="M970" i="17" s="1"/>
  <c r="I971" i="17"/>
  <c r="J971" i="17"/>
  <c r="O971" i="17" s="1" a="1"/>
  <c r="O971" i="17" s="1"/>
  <c r="K971" i="17"/>
  <c r="L971" i="17"/>
  <c r="M971" i="17" s="1"/>
  <c r="I972" i="17"/>
  <c r="J972" i="17"/>
  <c r="O972" i="17" s="1" a="1"/>
  <c r="O972" i="17" s="1"/>
  <c r="K972" i="17"/>
  <c r="L972" i="17"/>
  <c r="M972" i="17" s="1"/>
  <c r="I973" i="17"/>
  <c r="J973" i="17"/>
  <c r="O973" i="17" s="1" a="1"/>
  <c r="O973" i="17" s="1"/>
  <c r="K973" i="17"/>
  <c r="L973" i="17"/>
  <c r="M973" i="17" s="1"/>
  <c r="I974" i="17"/>
  <c r="J974" i="17"/>
  <c r="O974" i="17" s="1" a="1"/>
  <c r="K974" i="17"/>
  <c r="L974" i="17"/>
  <c r="M974" i="17" s="1"/>
  <c r="I975" i="17"/>
  <c r="J975" i="17"/>
  <c r="K975" i="17"/>
  <c r="L975" i="17"/>
  <c r="I976" i="17"/>
  <c r="J976" i="17"/>
  <c r="O976" i="17" s="1" a="1"/>
  <c r="O976" i="17" s="1"/>
  <c r="K976" i="17"/>
  <c r="L976" i="17"/>
  <c r="M976" i="17" s="1"/>
  <c r="I977" i="17"/>
  <c r="J977" i="17"/>
  <c r="K977" i="17"/>
  <c r="L977" i="17"/>
  <c r="M977" i="17" s="1"/>
  <c r="I978" i="17"/>
  <c r="J978" i="17"/>
  <c r="K978" i="17"/>
  <c r="L978" i="17"/>
  <c r="M978" i="17" s="1"/>
  <c r="I979" i="17"/>
  <c r="J979" i="17"/>
  <c r="O979" i="17" s="1" a="1"/>
  <c r="O979" i="17" s="1"/>
  <c r="K979" i="17"/>
  <c r="L979" i="17"/>
  <c r="I980" i="17"/>
  <c r="J980" i="17"/>
  <c r="K980" i="17"/>
  <c r="L980" i="17"/>
  <c r="M980" i="17" s="1"/>
  <c r="I981" i="17"/>
  <c r="J981" i="17"/>
  <c r="K981" i="17"/>
  <c r="L981" i="17"/>
  <c r="I982" i="17"/>
  <c r="J982" i="17"/>
  <c r="K982" i="17"/>
  <c r="L982" i="17"/>
  <c r="I983" i="17"/>
  <c r="J983" i="17"/>
  <c r="O983" i="17" s="1" a="1"/>
  <c r="K983" i="17"/>
  <c r="L983" i="17"/>
  <c r="M983" i="17" s="1"/>
  <c r="I984" i="17"/>
  <c r="J984" i="17"/>
  <c r="K984" i="17"/>
  <c r="L984" i="17"/>
  <c r="M984" i="17" s="1"/>
  <c r="I985" i="17"/>
  <c r="J985" i="17"/>
  <c r="O985" i="17" s="1" a="1"/>
  <c r="K985" i="17"/>
  <c r="L985" i="17"/>
  <c r="I986" i="17"/>
  <c r="J986" i="17"/>
  <c r="O986" i="17" s="1" a="1"/>
  <c r="O986" i="17" s="1"/>
  <c r="K986" i="17"/>
  <c r="L986" i="17"/>
  <c r="I987" i="17"/>
  <c r="J987" i="17"/>
  <c r="O987" i="17" s="1" a="1"/>
  <c r="O987" i="17" s="1"/>
  <c r="K987" i="17"/>
  <c r="L987" i="17"/>
  <c r="I988" i="17"/>
  <c r="J988" i="17"/>
  <c r="O988" i="17" s="1" a="1"/>
  <c r="O988" i="17" s="1"/>
  <c r="K988" i="17"/>
  <c r="L988" i="17"/>
  <c r="I989" i="17"/>
  <c r="J989" i="17"/>
  <c r="O989" i="17" s="1" a="1"/>
  <c r="O989" i="17" s="1"/>
  <c r="K989" i="17"/>
  <c r="L989" i="17"/>
  <c r="M989" i="17" s="1"/>
  <c r="I990" i="17"/>
  <c r="J990" i="17"/>
  <c r="O990" i="17" s="1" a="1"/>
  <c r="O990" i="17" s="1"/>
  <c r="K990" i="17"/>
  <c r="L990" i="17"/>
  <c r="M990" i="17" s="1"/>
  <c r="I991" i="17"/>
  <c r="J991" i="17"/>
  <c r="O991" i="17" s="1" a="1"/>
  <c r="O991" i="17" s="1"/>
  <c r="K991" i="17"/>
  <c r="L991" i="17"/>
  <c r="M991" i="17" s="1"/>
  <c r="I992" i="17"/>
  <c r="J992" i="17"/>
  <c r="O992" i="17" s="1" a="1"/>
  <c r="O992" i="17" s="1"/>
  <c r="K992" i="17"/>
  <c r="L992" i="17"/>
  <c r="M992" i="17" s="1"/>
  <c r="I993" i="17"/>
  <c r="J993" i="17"/>
  <c r="O993" i="17" s="1" a="1"/>
  <c r="O993" i="17" s="1"/>
  <c r="K993" i="17"/>
  <c r="L993" i="17"/>
  <c r="M993" i="17" s="1"/>
  <c r="I994" i="17"/>
  <c r="J994" i="17"/>
  <c r="O994" i="17" s="1" a="1"/>
  <c r="O994" i="17" s="1"/>
  <c r="K994" i="17"/>
  <c r="L994" i="17"/>
  <c r="M994" i="17" s="1"/>
  <c r="I995" i="17"/>
  <c r="J995" i="17"/>
  <c r="K995" i="17"/>
  <c r="L995" i="17"/>
  <c r="M995" i="17" s="1"/>
  <c r="I996" i="17"/>
  <c r="J996" i="17"/>
  <c r="K996" i="17"/>
  <c r="L996" i="17"/>
  <c r="M996" i="17" s="1"/>
  <c r="I997" i="17"/>
  <c r="J997" i="17"/>
  <c r="K997" i="17"/>
  <c r="L997" i="17"/>
  <c r="M997" i="17" s="1"/>
  <c r="I998" i="17"/>
  <c r="J998" i="17"/>
  <c r="O998" i="17" s="1" a="1"/>
  <c r="K998" i="17"/>
  <c r="L998" i="17"/>
  <c r="I999" i="17"/>
  <c r="J999" i="17"/>
  <c r="O999" i="17" s="1" a="1"/>
  <c r="O999" i="17" s="1"/>
  <c r="K999" i="17"/>
  <c r="L999" i="17"/>
  <c r="I1000" i="17"/>
  <c r="J1000" i="17"/>
  <c r="O1000" i="17" s="1" a="1"/>
  <c r="O1000" i="17" s="1"/>
  <c r="K1000" i="17"/>
  <c r="L1000" i="17"/>
  <c r="M1000" i="17" s="1"/>
  <c r="I1001" i="17"/>
  <c r="J1001" i="17"/>
  <c r="O1001" i="17" s="1" a="1"/>
  <c r="O1001" i="17" s="1"/>
  <c r="K1001" i="17"/>
  <c r="L1001" i="17"/>
  <c r="I3" i="17"/>
  <c r="J3" i="17"/>
  <c r="O3" i="17" s="1" a="1"/>
  <c r="O3" i="17" s="1"/>
  <c r="K3" i="17"/>
  <c r="L3" i="17"/>
  <c r="M3" i="17" s="1"/>
  <c r="I4" i="17"/>
  <c r="J4" i="17"/>
  <c r="O4" i="17" s="1" a="1"/>
  <c r="O4" i="17" s="1"/>
  <c r="K4" i="17"/>
  <c r="L4" i="17"/>
  <c r="M4" i="17" s="1"/>
  <c r="I5" i="17"/>
  <c r="J5" i="17"/>
  <c r="O5" i="17" s="1" a="1"/>
  <c r="O5" i="17" s="1"/>
  <c r="K5" i="17"/>
  <c r="L5" i="17"/>
  <c r="M5" i="17" s="1"/>
  <c r="I6" i="17"/>
  <c r="J6" i="17"/>
  <c r="O6" i="17" s="1" a="1"/>
  <c r="O6" i="17" s="1"/>
  <c r="K6" i="17"/>
  <c r="L6" i="17"/>
  <c r="J2" i="17"/>
  <c r="O2" i="17" s="1" a="1"/>
  <c r="K2" i="17"/>
  <c r="L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<sst xmlns="http://schemas.openxmlformats.org/spreadsheetml/2006/main" count="12130" uniqueCount="6223">
  <si>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</si>
  <si>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</si>
  <si>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</si>
  <si>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</si>
  <si>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</si>
  <si>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</si>
  <si>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</si>
  <si>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</si>
  <si>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</si>
  <si>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</si>
  <si>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</si>
  <si>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</si>
  <si>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</si>
  <si>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</si>
  <si>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</si>
  <si>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</si>
  <si>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</si>
  <si>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</si>
  <si>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</si>
  <si>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</si>
  <si>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</si>
  <si>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</si>
  <si>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</si>
  <si>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</si>
  <si>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</si>
  <si>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</si>
  <si>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</si>
  <si>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</si>
  <si>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</si>
  <si>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</si>
  <si>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</si>
  <si>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</si>
  <si>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</si>
  <si>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</si>
  <si>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</si>
  <si>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</si>
  <si>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</si>
  <si>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</si>
  <si>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</si>
  <si>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</si>
  <si>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</si>
  <si>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</si>
  <si>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</si>
  <si>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</si>
  <si>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</si>
  <si>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</si>
  <si>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</si>
  <si>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</si>
  <si>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</si>
  <si>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</si>
  <si>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</si>
  <si>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</si>
  <si>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</si>
  <si>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</si>
  <si>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</si>
  <si>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</si>
  <si>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</si>
  <si>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</si>
  <si>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</si>
  <si>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</si>
  <si>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</si>
  <si>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</si>
  <si>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</si>
  <si>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</si>
  <si>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</si>
  <si>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</si>
  <si>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</si>
  <si>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</si>
  <si>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</si>
  <si>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</si>
  <si>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</si>
  <si>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</si>
  <si>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</si>
  <si>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</si>
  <si>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</si>
  <si>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</si>
  <si>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</si>
  <si>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</si>
  <si>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</si>
  <si>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</si>
  <si>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</si>
  <si>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</si>
  <si>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</si>
  <si>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</si>
  <si>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</si>
  <si>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</si>
  <si>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</si>
  <si>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</si>
  <si>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</si>
  <si>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</si>
  <si>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</si>
  <si>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</si>
  <si>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</si>
  <si>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</si>
  <si>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</si>
  <si>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</si>
  <si>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</si>
  <si>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</si>
  <si>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</si>
  <si>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</si>
  <si>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</si>
  <si>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</si>
  <si>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</si>
  <si>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</si>
  <si>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</si>
  <si>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</si>
  <si>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</si>
  <si>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</si>
  <si>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</si>
  <si>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</si>
  <si>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</si>
  <si>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</si>
  <si>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</si>
  <si>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</si>
  <si>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</si>
  <si>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</si>
  <si>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</si>
  <si>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</si>
  <si>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</si>
  <si>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</si>
  <si>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</si>
  <si>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</si>
  <si>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</si>
  <si>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</si>
  <si>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</si>
  <si>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</si>
  <si>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</si>
  <si>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</si>
  <si>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</si>
  <si>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</si>
  <si>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</si>
  <si>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</si>
  <si>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</si>
  <si>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</si>
  <si>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</si>
  <si>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</si>
  <si>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</si>
  <si>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</si>
  <si>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</si>
  <si>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</si>
  <si>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</si>
  <si>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</si>
  <si>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</si>
  <si>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</si>
  <si>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</si>
  <si>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</si>
  <si>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</si>
  <si>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</si>
  <si>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</si>
  <si>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</si>
  <si>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</si>
  <si>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</si>
  <si>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</si>
  <si>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</si>
  <si>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</si>
  <si>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</si>
  <si>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</si>
  <si>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</si>
  <si>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</si>
  <si>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</si>
  <si>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</si>
  <si>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</si>
  <si>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</si>
  <si>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</si>
  <si>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</si>
  <si>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</si>
  <si>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</si>
  <si>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</si>
  <si>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</si>
  <si>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</si>
  <si>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</si>
  <si>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</si>
  <si>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</si>
  <si>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</si>
  <si>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</si>
  <si>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</si>
  <si>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</si>
  <si>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</si>
  <si>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</si>
  <si>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</si>
  <si>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</si>
  <si>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</si>
  <si>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</si>
  <si>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</si>
  <si>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</si>
  <si>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</si>
  <si>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</si>
  <si>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</si>
  <si>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</si>
  <si>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</si>
  <si>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</si>
  <si>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</si>
  <si>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</si>
  <si>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</si>
  <si>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</si>
  <si>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</si>
  <si>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</si>
  <si>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</si>
  <si>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</si>
  <si>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</si>
  <si>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</si>
  <si>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</si>
  <si>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</si>
  <si>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</si>
  <si>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</si>
  <si>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</si>
  <si>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</si>
  <si>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</si>
  <si>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</si>
  <si>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</si>
  <si>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</si>
  <si>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</si>
  <si>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</si>
  <si>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</si>
  <si>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</si>
  <si>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</si>
  <si>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</si>
  <si>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</si>
  <si>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</si>
  <si>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</si>
  <si>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</si>
  <si>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</si>
  <si>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</si>
  <si>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</si>
  <si>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</si>
  <si>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</si>
  <si>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</si>
  <si>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</si>
  <si>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</si>
  <si>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</si>
  <si>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</si>
  <si>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</si>
  <si>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</si>
  <si>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</si>
  <si>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</si>
  <si>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</si>
  <si>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</si>
  <si>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</si>
  <si>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</si>
  <si>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</si>
  <si>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</si>
  <si>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</si>
  <si>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</si>
  <si>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</si>
  <si>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</si>
  <si>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</si>
  <si>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</si>
  <si>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</si>
  <si>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</si>
  <si>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</si>
  <si>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</si>
  <si>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</si>
  <si>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</si>
  <si>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</si>
  <si>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</si>
  <si>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</si>
  <si>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</si>
  <si>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</si>
  <si>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</si>
  <si>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</si>
  <si>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</si>
  <si>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</si>
  <si>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</si>
  <si>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</si>
  <si>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</si>
  <si>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</si>
  <si>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</si>
  <si>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</si>
  <si>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</si>
  <si>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</si>
  <si>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</si>
  <si>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</si>
  <si>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</si>
  <si>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</si>
  <si>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</si>
  <si>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</si>
  <si>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</si>
  <si>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</si>
  <si>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</si>
  <si>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</si>
  <si>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</si>
  <si>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</si>
  <si>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</si>
  <si>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</si>
  <si>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</si>
  <si>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</si>
  <si>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</si>
  <si>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</si>
  <si>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</si>
  <si>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</si>
  <si>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</si>
  <si>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</si>
  <si>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</si>
  <si>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</si>
  <si>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</si>
  <si>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</si>
  <si>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</si>
  <si>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</si>
  <si>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</si>
  <si>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</si>
  <si>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</si>
  <si>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</si>
  <si>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</si>
  <si>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</si>
  <si>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</si>
  <si>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</si>
  <si>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</si>
  <si>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</si>
  <si>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</si>
  <si>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</si>
  <si>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</si>
  <si>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</si>
  <si>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</si>
  <si>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</si>
  <si>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</si>
  <si>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</si>
  <si>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</si>
  <si>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</si>
  <si>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</si>
  <si>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</si>
  <si>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</si>
  <si>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</si>
  <si>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</si>
  <si>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</si>
  <si>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</si>
  <si>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</si>
  <si>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</si>
  <si>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</si>
  <si>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</si>
  <si>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</si>
  <si>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</si>
  <si>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</si>
  <si>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</si>
  <si>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</si>
  <si>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</si>
  <si>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</si>
  <si>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</si>
  <si>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</si>
  <si>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</si>
  <si>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</si>
  <si>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</si>
  <si>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</si>
  <si>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</si>
  <si>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</si>
  <si>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</si>
  <si>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</si>
  <si>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</si>
  <si>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</si>
  <si>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</si>
  <si>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</si>
  <si>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</si>
  <si>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</si>
  <si>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</si>
  <si>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</si>
  <si>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</si>
  <si>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</si>
  <si>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</si>
  <si>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</si>
  <si>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</si>
  <si>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</si>
  <si>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</si>
  <si>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</si>
  <si>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</si>
  <si>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</si>
  <si>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</si>
  <si>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</si>
  <si>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</si>
  <si>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</si>
  <si>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</si>
  <si>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</si>
  <si>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</si>
  <si>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</si>
  <si>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</si>
  <si>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</si>
  <si>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</si>
  <si>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</si>
  <si>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</si>
  <si>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</si>
  <si>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</si>
  <si>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</si>
  <si>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</si>
  <si>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</si>
  <si>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</si>
  <si>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</si>
  <si>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</si>
  <si>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</si>
  <si>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</si>
  <si>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</si>
  <si>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</si>
  <si>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</si>
  <si>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</si>
  <si>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</si>
  <si>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</si>
  <si>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</si>
  <si>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</si>
  <si>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</si>
  <si>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</si>
  <si>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</si>
  <si>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</si>
  <si>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</si>
  <si>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</si>
  <si>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</si>
  <si>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</si>
  <si>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</si>
  <si>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</si>
  <si>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</si>
  <si>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</si>
  <si>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</si>
  <si>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</si>
  <si>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</si>
  <si>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</si>
  <si>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</si>
  <si>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</si>
  <si>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</si>
  <si>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</si>
  <si>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</si>
  <si>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</si>
  <si>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</si>
  <si>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</si>
  <si>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</si>
  <si>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</si>
  <si>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</si>
  <si>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</si>
  <si>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</si>
  <si>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</si>
  <si>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</si>
  <si>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</si>
  <si>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</si>
  <si>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</si>
  <si>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</si>
  <si>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</si>
  <si>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</si>
  <si>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</si>
  <si>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</si>
  <si>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</si>
  <si>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</si>
  <si>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</si>
  <si>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</si>
  <si>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</si>
  <si>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</si>
  <si>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</si>
  <si>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</si>
  <si>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</si>
  <si>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</si>
  <si>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</si>
  <si>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</si>
  <si>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</si>
  <si>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</si>
  <si>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</si>
  <si>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</si>
  <si>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</si>
  <si>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</si>
  <si>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</si>
  <si>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</si>
  <si>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</si>
  <si>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</si>
  <si>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</si>
  <si>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</si>
  <si>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</si>
  <si>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</si>
  <si>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</si>
  <si>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</si>
  <si>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</si>
  <si>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</si>
  <si>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</si>
  <si>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</si>
  <si>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</si>
  <si>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</si>
  <si>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</si>
  <si>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</si>
  <si>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</si>
  <si>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</si>
  <si>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</si>
  <si>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</si>
  <si>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</si>
  <si>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</si>
  <si>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</si>
  <si>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</si>
  <si>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</si>
  <si>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</si>
  <si>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</si>
  <si>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</si>
  <si>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</si>
  <si>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</si>
  <si>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</si>
  <si>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</si>
  <si>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</si>
  <si>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</si>
  <si>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</si>
  <si>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</si>
  <si>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</si>
  <si>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</si>
  <si>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</si>
  <si>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</si>
  <si>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</si>
  <si>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</si>
  <si>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</si>
  <si>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</si>
  <si>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</si>
  <si>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</si>
  <si>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</si>
  <si>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</si>
  <si>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</si>
  <si>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</si>
  <si>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</si>
  <si>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</si>
  <si>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</si>
  <si>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</si>
  <si>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</si>
  <si>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</si>
  <si>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</si>
  <si>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</si>
  <si>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</si>
  <si>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</si>
  <si>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</si>
  <si>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</si>
  <si>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</si>
  <si>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</si>
  <si>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</si>
  <si>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</si>
  <si>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</si>
  <si>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</si>
  <si>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</si>
  <si>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</si>
  <si>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</si>
  <si>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</si>
  <si>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</si>
  <si>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</si>
  <si>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</si>
  <si>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</si>
  <si>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</si>
  <si>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</si>
  <si>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</si>
  <si>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</si>
  <si>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</si>
  <si>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</si>
  <si>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</si>
  <si>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</si>
  <si>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</si>
  <si>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</si>
  <si>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</si>
  <si>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</si>
  <si>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</si>
  <si>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</si>
  <si>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</si>
  <si>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</si>
  <si>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</si>
  <si>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</si>
  <si>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</si>
  <si>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</si>
  <si>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</si>
  <si>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</si>
  <si>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</si>
  <si>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</si>
  <si>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</si>
  <si>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</si>
  <si>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</si>
  <si>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</si>
  <si>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</si>
  <si>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</si>
  <si>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</si>
  <si>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</si>
  <si>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</si>
  <si>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</si>
  <si>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</si>
  <si>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</si>
  <si>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</si>
  <si>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</si>
  <si>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</si>
  <si>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</si>
  <si>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</si>
  <si>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</si>
  <si>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</si>
  <si>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</si>
  <si>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</si>
  <si>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</si>
  <si>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</si>
  <si>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</si>
  <si>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</si>
  <si>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</si>
  <si>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</si>
  <si>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</si>
  <si>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</si>
  <si>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</si>
  <si>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</si>
  <si>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</si>
  <si>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</si>
  <si>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</si>
  <si>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</si>
  <si>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</si>
  <si>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</si>
  <si>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</si>
  <si>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</si>
  <si>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</si>
  <si>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</si>
  <si>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</si>
  <si>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</si>
  <si>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</si>
  <si>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</si>
  <si>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</si>
  <si>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</si>
  <si>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</si>
  <si>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</si>
  <si>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</si>
  <si>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</si>
  <si>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</si>
  <si>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</si>
  <si>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</si>
  <si>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</si>
  <si>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</si>
  <si>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</si>
  <si>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</si>
  <si>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</si>
  <si>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</si>
  <si>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</si>
  <si>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</si>
  <si>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</si>
  <si>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</si>
  <si>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</si>
  <si>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</si>
  <si>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</si>
  <si>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</si>
  <si>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</si>
  <si>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</si>
  <si>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</si>
  <si>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</si>
  <si>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</si>
  <si>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</si>
  <si>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</si>
  <si>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</si>
  <si>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</si>
  <si>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</si>
  <si>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</si>
  <si>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</si>
  <si>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</si>
  <si>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</si>
  <si>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</si>
  <si>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</si>
  <si>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</si>
  <si>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</si>
  <si>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</si>
  <si>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</si>
  <si>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</si>
  <si>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</si>
  <si>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</si>
  <si>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</si>
  <si>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</si>
  <si>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</si>
  <si>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</si>
  <si>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</si>
  <si>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</si>
  <si>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</si>
  <si>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</si>
  <si>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</si>
  <si>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</si>
  <si>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</si>
  <si>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</si>
  <si>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</si>
  <si>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</si>
  <si>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</si>
  <si>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</si>
  <si>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</si>
  <si>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</si>
  <si>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</si>
  <si>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</si>
  <si>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</si>
  <si>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</si>
  <si>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</si>
  <si>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</si>
  <si>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</si>
  <si>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</si>
  <si>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</si>
  <si>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</si>
  <si>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</si>
  <si>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</si>
  <si>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</si>
  <si>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</si>
  <si>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</si>
  <si>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</si>
  <si>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</si>
  <si>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</si>
  <si>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</si>
  <si>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</si>
  <si>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</si>
  <si>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</si>
  <si>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</si>
  <si>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</si>
  <si>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</si>
  <si>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</si>
  <si>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</si>
  <si>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</si>
  <si>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</si>
  <si>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</si>
  <si>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</si>
  <si>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</si>
  <si>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</si>
  <si>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</si>
  <si>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</si>
  <si>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</si>
  <si>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</si>
  <si>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</si>
  <si>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</si>
  <si>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</si>
  <si>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</si>
  <si>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</si>
  <si>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</si>
  <si>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</si>
  <si>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</si>
  <si>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</si>
  <si>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</si>
  <si>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</si>
  <si>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</si>
  <si>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</si>
  <si>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</si>
  <si>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</si>
  <si>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</si>
  <si>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</si>
  <si>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</si>
  <si>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</si>
  <si>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</si>
  <si>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</si>
  <si>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</si>
  <si>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</si>
  <si>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</si>
  <si>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</si>
  <si>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</si>
  <si>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</si>
  <si>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</si>
  <si>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</si>
  <si>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</si>
  <si>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</si>
  <si>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</si>
  <si>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</si>
  <si>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</si>
  <si>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</si>
  <si>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</si>
  <si>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</si>
  <si>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</si>
  <si>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</si>
  <si>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</si>
  <si>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</si>
  <si>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</si>
  <si>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</si>
  <si>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</si>
  <si>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</si>
  <si>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</si>
  <si>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</si>
  <si>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</si>
  <si>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</si>
  <si>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</si>
  <si>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</si>
  <si>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</si>
  <si>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</si>
  <si>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</si>
  <si>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</si>
  <si>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</si>
  <si>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</si>
  <si>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</si>
  <si>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</si>
  <si>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</si>
  <si>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</si>
  <si>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</si>
  <si>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</si>
  <si>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</si>
  <si>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</si>
  <si>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</si>
  <si>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</si>
  <si>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</si>
  <si>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</si>
  <si>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</si>
  <si>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</si>
  <si>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</si>
  <si>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</si>
  <si>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</si>
  <si>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</si>
  <si>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</si>
  <si>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</si>
  <si>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</si>
  <si>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</si>
  <si>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</si>
  <si>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</si>
  <si>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</si>
  <si>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</si>
  <si>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</si>
  <si>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</si>
  <si>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</si>
  <si>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</si>
  <si>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</si>
  <si>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</si>
  <si>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</si>
  <si>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</si>
  <si>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</si>
  <si>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</si>
  <si>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</si>
  <si>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</si>
  <si>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</si>
  <si>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</si>
  <si>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</si>
  <si>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</si>
  <si>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</si>
  <si>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</si>
  <si>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</si>
  <si>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</si>
  <si>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</si>
  <si>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</si>
  <si>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</si>
  <si>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</si>
  <si>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</si>
  <si>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</si>
  <si>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</si>
  <si>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</si>
  <si>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</si>
  <si>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</si>
  <si>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</si>
  <si>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</si>
  <si>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</si>
  <si>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</si>
  <si>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</si>
  <si>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</si>
  <si>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</si>
  <si>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</si>
  <si>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</si>
  <si>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</si>
  <si>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</si>
  <si>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</si>
  <si>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</si>
  <si>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</si>
  <si>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</si>
  <si>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</si>
  <si>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</si>
  <si>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</si>
  <si>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</si>
  <si>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</si>
  <si>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</si>
  <si>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</si>
  <si>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</si>
  <si>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</si>
  <si>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</si>
  <si>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</si>
  <si>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</si>
  <si>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</si>
  <si>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</si>
  <si>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</si>
  <si>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</si>
  <si>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</si>
  <si>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</si>
  <si>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</si>
  <si>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</si>
  <si>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</si>
  <si>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</si>
  <si>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</si>
  <si>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</si>
  <si>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</si>
  <si>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</si>
  <si>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</si>
  <si>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</si>
  <si>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</si>
  <si>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</si>
  <si>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</si>
  <si>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</si>
  <si>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</si>
  <si>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</si>
  <si>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</si>
  <si>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</si>
  <si>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</si>
  <si>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</si>
  <si>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</si>
  <si>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</si>
  <si>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</si>
  <si>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</si>
  <si>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</si>
  <si>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</si>
  <si>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</si>
  <si>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</si>
  <si>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</si>
  <si>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</si>
  <si>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</si>
  <si>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</si>
  <si>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</si>
  <si>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</si>
  <si>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</si>
  <si>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</si>
  <si>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</si>
  <si>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</si>
  <si>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</si>
  <si>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</si>
  <si>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</si>
  <si>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</si>
  <si>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</si>
  <si>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</si>
  <si>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</si>
  <si>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</si>
  <si>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</si>
  <si>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</si>
  <si>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</si>
  <si>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</si>
  <si>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</si>
  <si>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</si>
  <si>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</si>
  <si>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</si>
  <si>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</si>
  <si>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</si>
  <si>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</si>
  <si>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</si>
  <si>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</si>
  <si>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</si>
  <si>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</si>
  <si>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</si>
  <si>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</si>
  <si>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</si>
  <si>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</si>
  <si>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</si>
  <si>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</si>
  <si>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</si>
  <si>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</si>
  <si>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</si>
  <si>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</si>
  <si>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</si>
  <si>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</si>
  <si>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</si>
  <si>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</si>
  <si>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</si>
  <si>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</si>
  <si>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</si>
  <si>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</si>
  <si>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</si>
  <si>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</si>
  <si>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</si>
  <si>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</si>
  <si>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</si>
  <si>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</si>
  <si>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</si>
  <si>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</si>
  <si>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</si>
  <si>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</si>
  <si>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</si>
  <si>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</si>
  <si>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</si>
  <si>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</si>
  <si>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</si>
  <si>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</si>
  <si>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</si>
  <si>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</si>
  <si>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</si>
  <si>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</si>
  <si>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</si>
  <si>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</si>
  <si>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</si>
  <si>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</si>
  <si>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</si>
  <si>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</si>
  <si>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</si>
  <si>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</si>
  <si>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</si>
  <si>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</si>
  <si>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</si>
  <si>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</si>
  <si>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</si>
  <si>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</si>
  <si>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</si>
  <si>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</si>
  <si>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</si>
  <si>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</si>
  <si>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</si>
  <si>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</si>
  <si>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</si>
  <si>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</si>
  <si>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</si>
  <si>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</si>
  <si>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</si>
  <si>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</si>
  <si>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</si>
  <si>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</si>
  <si>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</si>
  <si>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</si>
  <si>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</si>
  <si>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</si>
  <si>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</si>
  <si>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</si>
  <si>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</si>
  <si>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</si>
  <si>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</si>
  <si>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</si>
  <si>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</si>
  <si>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</si>
  <si>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</si>
  <si>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</si>
  <si>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</si>
  <si>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</si>
  <si>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</si>
  <si>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</si>
  <si>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</si>
  <si>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</si>
  <si>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</si>
  <si>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</si>
  <si>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</si>
  <si>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</si>
  <si>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</si>
  <si>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</si>
  <si>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</si>
  <si>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</si>
  <si>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</si>
  <si>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</si>
  <si>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</si>
  <si>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</si>
  <si>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</si>
  <si>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</si>
  <si>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</si>
  <si>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</si>
  <si>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</si>
  <si>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</si>
  <si>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</si>
  <si>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</si>
  <si>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</si>
  <si>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</si>
  <si>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</si>
  <si>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</si>
  <si>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</si>
  <si>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</si>
  <si>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</si>
  <si>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</si>
  <si>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</si>
  <si>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</si>
  <si>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</si>
  <si>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</si>
  <si>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</si>
  <si>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</si>
  <si>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</si>
  <si>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</si>
  <si>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</si>
  <si>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</si>
  <si>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</si>
  <si>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</si>
  <si>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</si>
  <si>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</si>
  <si>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</si>
  <si>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</si>
  <si>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</si>
  <si>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</si>
  <si>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</si>
  <si>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</si>
  <si>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</si>
  <si>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</si>
  <si>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</si>
  <si>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</si>
  <si>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</si>
  <si>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</si>
  <si>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</si>
  <si>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</si>
  <si>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</si>
  <si>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</si>
  <si>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</si>
  <si>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</si>
  <si>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</si>
  <si>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</si>
  <si>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</si>
  <si>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</si>
  <si>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</si>
  <si>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</si>
  <si>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</si>
  <si>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</si>
  <si>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</si>
  <si>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</si>
  <si>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</si>
  <si>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</si>
  <si>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</si>
  <si>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</si>
  <si>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</si>
  <si>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</si>
  <si>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</si>
  <si>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</si>
  <si>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</si>
  <si>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</si>
  <si>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</si>
  <si>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</si>
  <si>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</si>
  <si>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</si>
  <si>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</si>
  <si>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</si>
  <si>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</si>
  <si>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</si>
  <si>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</si>
  <si>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</si>
  <si>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</si>
  <si>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</si>
  <si>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</si>
  <si>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</si>
  <si>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</si>
  <si>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</si>
  <si>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</si>
  <si>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</si>
  <si>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</si>
  <si>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</si>
  <si>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</si>
  <si>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</si>
  <si>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</si>
  <si>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</si>
  <si>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</si>
  <si>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</si>
  <si>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</si>
  <si>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</si>
  <si>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</si>
  <si>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</si>
  <si>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</si>
  <si>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</si>
  <si>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</si>
  <si>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</si>
  <si>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</si>
  <si>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</si>
  <si>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</si>
  <si>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</si>
  <si>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</si>
  <si>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</si>
  <si>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</si>
  <si>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</si>
  <si>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</si>
  <si>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</si>
  <si>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</si>
  <si>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</si>
  <si>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</si>
  <si>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</si>
  <si>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</si>
  <si>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</si>
  <si>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</si>
  <si>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</si>
  <si>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</si>
  <si>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</si>
  <si>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</si>
  <si>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</si>
  <si>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</si>
  <si>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</si>
  <si>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</si>
  <si>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</si>
  <si>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</si>
  <si>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</si>
  <si>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</si>
  <si>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</si>
  <si>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</si>
  <si>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</si>
  <si>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</si>
  <si>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</si>
  <si>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</si>
  <si>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</si>
  <si>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</si>
  <si>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</si>
  <si>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</si>
  <si>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</si>
  <si>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</si>
  <si>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</si>
  <si>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</si>
  <si>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</si>
  <si>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</si>
  <si>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</si>
  <si>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</si>
  <si>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</si>
  <si>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</si>
  <si>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</si>
  <si>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</si>
  <si>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</si>
  <si>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</si>
  <si>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</si>
  <si>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</si>
  <si>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</si>
  <si>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</si>
  <si>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</si>
  <si>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</si>
  <si>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</si>
  <si>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</si>
  <si>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</si>
  <si>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</si>
  <si>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</si>
  <si>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</si>
  <si>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</si>
  <si>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</si>
  <si>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</si>
  <si>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</si>
  <si>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</si>
  <si>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</si>
  <si>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</si>
  <si>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</si>
  <si>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</si>
  <si>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</si>
  <si>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</si>
  <si>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</si>
  <si>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</si>
  <si>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</si>
  <si>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</si>
  <si>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</si>
  <si>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</si>
  <si>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</si>
  <si>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</si>
  <si>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</si>
  <si>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</si>
  <si>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</si>
  <si>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</si>
  <si>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</si>
  <si>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</si>
  <si>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</si>
  <si>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</si>
  <si>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</si>
  <si>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</si>
  <si>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</si>
  <si>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</si>
  <si>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</si>
  <si>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</si>
  <si>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</si>
  <si>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</si>
  <si>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</si>
  <si>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</si>
  <si>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</si>
  <si>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</si>
  <si>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</si>
  <si>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</si>
  <si>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</si>
  <si>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</si>
  <si>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</si>
  <si>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</si>
  <si>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</si>
  <si>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</si>
  <si>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</si>
  <si>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</si>
  <si>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</si>
  <si>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</si>
  <si>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</si>
  <si>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</si>
  <si>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</si>
  <si>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</si>
  <si>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</si>
  <si>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</si>
  <si>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</si>
  <si>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</si>
  <si>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</si>
  <si>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</si>
  <si>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</si>
  <si>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</si>
  <si>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</si>
  <si>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</si>
  <si>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</si>
  <si>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</si>
  <si>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</si>
  <si>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</si>
  <si>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</si>
  <si>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</si>
  <si>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</si>
  <si>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</si>
  <si>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</si>
  <si>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</si>
  <si>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</si>
  <si>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</si>
  <si>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</si>
  <si>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</si>
  <si>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</si>
  <si>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</si>
  <si>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</si>
  <si>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</si>
  <si>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</si>
  <si>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</si>
  <si>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</si>
  <si>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</si>
  <si>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</si>
  <si>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</si>
  <si>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</si>
  <si>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</si>
  <si>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</si>
  <si>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</si>
  <si>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</si>
  <si>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</si>
  <si>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</si>
  <si>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</si>
  <si>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</si>
  <si>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</si>
  <si>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</si>
  <si>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</si>
  <si>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</si>
  <si>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</si>
  <si>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</si>
  <si>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</si>
  <si>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</si>
  <si>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</si>
  <si>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</si>
  <si>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</si>
  <si>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</si>
  <si>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</si>
  <si>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</si>
  <si>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</si>
  <si>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</si>
  <si>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</si>
  <si>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</si>
  <si>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</si>
  <si>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</si>
  <si>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</si>
  <si>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</si>
  <si>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</si>
  <si>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</si>
  <si>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</si>
  <si>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</si>
  <si>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</si>
  <si>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</si>
  <si>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</si>
  <si>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</si>
  <si>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</si>
  <si>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</si>
  <si>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</si>
  <si>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</si>
  <si>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</si>
  <si>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</si>
  <si>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</si>
  <si>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</si>
  <si>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</si>
  <si>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</si>
  <si>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</si>
  <si>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</si>
  <si>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</si>
  <si>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</si>
  <si>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</si>
  <si>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</si>
  <si>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</si>
  <si>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</si>
  <si>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</si>
  <si>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</si>
  <si>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</si>
  <si>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</si>
  <si>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</si>
  <si>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</si>
  <si>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</si>
  <si>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</si>
  <si>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</si>
  <si>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</si>
  <si>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</si>
  <si>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</si>
  <si>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</si>
  <si>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</si>
  <si>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</si>
  <si>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</si>
  <si>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</si>
  <si>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</si>
  <si>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</si>
  <si>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</si>
  <si>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</si>
  <si>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</si>
  <si>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</si>
  <si>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</si>
  <si>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</si>
  <si>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</si>
  <si>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</si>
  <si>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</si>
  <si>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</si>
  <si>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</si>
  <si>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</si>
  <si>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</si>
  <si>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</si>
  <si>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</si>
  <si>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</si>
  <si>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</si>
  <si>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</si>
  <si>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</si>
  <si>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</si>
  <si>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</si>
  <si>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</si>
  <si>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</si>
  <si>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</si>
  <si>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</si>
  <si>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</si>
  <si>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</si>
  <si>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</si>
  <si>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</si>
  <si>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</si>
  <si>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</si>
  <si>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</si>
  <si>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</si>
  <si>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</si>
  <si>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</si>
  <si>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</si>
  <si>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</si>
  <si>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</si>
  <si>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</si>
  <si>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</si>
  <si>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</si>
  <si>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</si>
  <si>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</si>
  <si>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</si>
  <si>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</si>
  <si>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</si>
  <si>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</si>
  <si>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</si>
  <si>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</si>
  <si>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</si>
  <si>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</si>
  <si>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</si>
  <si>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</si>
  <si>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</si>
  <si>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</si>
  <si>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</si>
  <si>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</si>
  <si>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</si>
  <si>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</si>
  <si>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</si>
  <si>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</si>
  <si>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</si>
  <si>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</si>
  <si>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</si>
  <si>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</si>
  <si>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</si>
  <si>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</si>
  <si>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</si>
  <si>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</si>
  <si>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</si>
  <si>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</si>
  <si>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</si>
  <si>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</si>
  <si>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</si>
  <si>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</si>
  <si>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</si>
  <si>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</si>
  <si>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</si>
  <si>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</si>
  <si>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</si>
  <si>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</si>
  <si>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</si>
  <si>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</si>
  <si>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</si>
  <si>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</si>
  <si>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</si>
  <si>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</si>
  <si>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</si>
  <si>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</si>
  <si>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</si>
  <si>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</si>
  <si>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</si>
  <si>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</si>
  <si>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</si>
  <si>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</si>
  <si>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</si>
  <si>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</si>
  <si>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</si>
  <si>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</si>
  <si>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</si>
  <si>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</si>
  <si>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</si>
  <si>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</si>
  <si>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</si>
  <si>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</si>
  <si>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</si>
  <si>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</si>
  <si>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</si>
  <si>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</si>
  <si>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</si>
  <si>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</si>
  <si>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</si>
  <si>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</si>
  <si>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</si>
  <si>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</si>
  <si>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</si>
  <si>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</si>
  <si>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</si>
  <si>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</si>
  <si>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</si>
  <si>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</si>
  <si>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</si>
  <si>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</si>
  <si>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</si>
  <si>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</si>
  <si>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</si>
  <si>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</si>
  <si>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</si>
  <si>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</si>
  <si>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</si>
  <si>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</si>
  <si>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</si>
  <si>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</si>
  <si>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</si>
  <si>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</si>
  <si>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</si>
  <si>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</si>
  <si>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</si>
  <si>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</si>
  <si>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</si>
  <si>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</si>
  <si>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</si>
  <si>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</si>
  <si>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</si>
  <si>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</si>
  <si>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</si>
  <si>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</si>
  <si>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</si>
  <si>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</si>
  <si>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</si>
  <si>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</si>
  <si>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</si>
  <si>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</si>
  <si>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</si>
  <si>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</si>
  <si>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</si>
  <si>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</si>
  <si>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</si>
  <si>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</si>
  <si>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</si>
  <si>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</si>
  <si>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</si>
  <si>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</si>
  <si>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</si>
  <si>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</si>
  <si>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</si>
  <si>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</si>
  <si>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</si>
  <si>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</si>
  <si>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</si>
  <si>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</si>
  <si>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</si>
  <si>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</si>
  <si>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</si>
  <si>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</si>
  <si>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</si>
  <si>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</si>
  <si>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</si>
  <si>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</si>
  <si>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</si>
  <si>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</si>
  <si>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</si>
  <si>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</si>
  <si>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</si>
  <si>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</si>
  <si>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</si>
  <si>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</si>
  <si>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</si>
  <si>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</si>
  <si>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</si>
  <si>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</si>
  <si>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</si>
  <si>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</si>
  <si>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</si>
  <si>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</si>
  <si>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</si>
  <si>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</si>
  <si>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</si>
  <si>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</si>
  <si>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</si>
  <si>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</si>
  <si>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</si>
  <si>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</si>
  <si>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</si>
  <si>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</si>
  <si>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</si>
  <si>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</si>
  <si>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</si>
  <si>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</si>
  <si>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</si>
  <si>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</si>
  <si>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</si>
  <si>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</si>
  <si>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</si>
  <si>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</si>
  <si>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</si>
  <si>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</si>
  <si>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</si>
  <si>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</si>
  <si>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</si>
  <si>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</si>
  <si>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</si>
  <si>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</si>
  <si>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</si>
  <si>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</si>
  <si>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</si>
  <si>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</si>
  <si>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</si>
  <si>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</si>
  <si>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</si>
  <si>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</si>
  <si>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</si>
  <si>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</si>
  <si>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</si>
  <si>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</si>
  <si>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</si>
  <si>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</si>
  <si>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</si>
  <si>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</si>
  <si>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</si>
  <si>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</si>
  <si>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</si>
  <si>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</si>
  <si>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</si>
  <si>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</si>
  <si>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</si>
  <si>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</si>
  <si>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</si>
  <si>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</si>
  <si>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</si>
  <si>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</si>
  <si>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</si>
  <si>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</si>
  <si>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</si>
  <si>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</si>
  <si>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</si>
  <si>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</si>
  <si>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</si>
  <si>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</si>
  <si>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</si>
  <si>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</si>
  <si>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</si>
  <si>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</si>
  <si>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</si>
  <si>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</si>
  <si>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</si>
  <si>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</si>
  <si>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</si>
  <si>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</si>
  <si>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</si>
  <si>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</si>
  <si>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</si>
  <si>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</si>
  <si>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</si>
  <si>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</si>
  <si>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</si>
  <si>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</si>
  <si>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</si>
  <si>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</si>
  <si>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</si>
  <si>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</si>
  <si>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</si>
  <si>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</si>
  <si>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</si>
  <si>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</si>
  <si>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</si>
  <si>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</si>
  <si>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</si>
  <si>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</si>
  <si>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</si>
  <si>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</si>
  <si>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</si>
  <si>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</si>
  <si>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</si>
  <si>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</si>
  <si>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</si>
  <si>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</si>
  <si>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</si>
  <si>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</si>
  <si>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</si>
  <si>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</si>
  <si>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</si>
  <si>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</si>
  <si>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</si>
  <si>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</si>
  <si>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</si>
  <si>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</si>
  <si>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</si>
  <si>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</si>
  <si>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</si>
  <si>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</si>
  <si>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</si>
  <si>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</si>
  <si>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</si>
  <si>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</si>
  <si>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</si>
  <si>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</si>
  <si>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</si>
  <si>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</si>
  <si>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</si>
  <si>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</si>
  <si>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</si>
  <si>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</si>
  <si>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</si>
  <si>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</si>
  <si>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</si>
  <si>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</si>
  <si>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</si>
  <si>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</si>
  <si>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</si>
  <si>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</si>
  <si>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</si>
  <si>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</si>
  <si>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</si>
  <si>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</si>
  <si>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</si>
  <si>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</si>
  <si>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</si>
  <si>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</si>
  <si>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</si>
  <si>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</si>
  <si>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</si>
  <si>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</si>
  <si>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</si>
  <si>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</si>
  <si>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</si>
  <si>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</si>
  <si>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</si>
  <si>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</si>
  <si>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</si>
  <si>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</si>
  <si>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</si>
  <si>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</si>
  <si>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</si>
  <si>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</si>
  <si>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</si>
  <si>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</si>
  <si>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</si>
  <si>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</si>
  <si>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</si>
  <si>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</si>
  <si>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</si>
  <si>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</si>
  <si>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</si>
  <si>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</si>
  <si>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</si>
  <si>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</si>
  <si>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</si>
  <si>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</si>
  <si>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</si>
  <si>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</si>
  <si>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</si>
  <si>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</si>
  <si>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</si>
  <si>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</si>
  <si>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</si>
  <si>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</si>
  <si>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</si>
  <si>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</si>
  <si>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</si>
  <si>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</si>
  <si>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</si>
  <si>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</si>
  <si>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</si>
  <si>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</si>
  <si>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</si>
  <si>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</si>
  <si>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</si>
  <si>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</si>
  <si>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</si>
  <si>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</si>
  <si>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</si>
  <si>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</si>
  <si>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</si>
  <si>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</si>
  <si>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</si>
  <si>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</si>
  <si>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</si>
  <si>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</si>
  <si>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</si>
  <si>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</si>
  <si>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</si>
  <si>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</si>
  <si>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</si>
  <si>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</si>
  <si>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</si>
  <si>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</si>
  <si>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</si>
  <si>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</si>
  <si>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</si>
  <si>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</si>
  <si>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</si>
  <si>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</si>
  <si>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</si>
  <si>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</si>
  <si>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</si>
  <si>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</si>
  <si>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</si>
  <si>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</si>
  <si>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</si>
  <si>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</si>
  <si>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</si>
  <si>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</si>
  <si>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</si>
  <si>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</si>
  <si>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</si>
  <si>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</si>
  <si>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</si>
  <si>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</si>
  <si>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</si>
  <si>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</si>
  <si>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</si>
  <si>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</si>
  <si>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</si>
  <si>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</si>
  <si>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</si>
  <si>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</si>
  <si>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</si>
  <si>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</si>
  <si>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</si>
  <si>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</si>
  <si>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</si>
  <si>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</si>
  <si>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</si>
  <si>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</si>
  <si>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</si>
  <si>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</si>
  <si>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</si>
  <si>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</si>
  <si>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</si>
  <si>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</si>
  <si>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</si>
  <si>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</si>
  <si>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</si>
  <si>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</si>
  <si>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</si>
  <si>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</si>
  <si>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</si>
  <si>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</si>
  <si>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</si>
  <si>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</si>
  <si>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</si>
  <si>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</si>
  <si>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</si>
  <si>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</si>
  <si>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</si>
  <si>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</si>
  <si>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</si>
  <si>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</si>
  <si>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</si>
  <si>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</si>
  <si>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</si>
  <si>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</si>
  <si>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</si>
  <si>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</si>
  <si>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</si>
  <si>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</si>
  <si>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</si>
  <si>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</si>
  <si>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</si>
  <si>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</si>
  <si>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</si>
  <si>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</si>
  <si>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</si>
  <si>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</si>
  <si>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</si>
  <si>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</si>
  <si>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</si>
  <si>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</si>
  <si>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</si>
  <si>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</si>
  <si>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</si>
  <si>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</si>
  <si>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</si>
  <si>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</si>
  <si>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</si>
  <si>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</si>
  <si>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</si>
  <si>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</si>
  <si>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</si>
  <si>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</si>
  <si>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</si>
  <si>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</si>
  <si>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</si>
  <si>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</si>
  <si>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</si>
  <si>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</si>
  <si>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</si>
  <si>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</si>
  <si>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</si>
  <si>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</si>
  <si>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</si>
  <si>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</si>
  <si>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</si>
  <si>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</si>
  <si>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</si>
  <si>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</si>
  <si>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</si>
  <si>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</si>
  <si>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</si>
  <si>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</si>
  <si>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</si>
  <si>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</si>
  <si>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</si>
  <si>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</si>
  <si>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</si>
  <si>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</si>
  <si>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</si>
  <si>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</si>
  <si>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</si>
  <si>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</si>
  <si>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</si>
  <si>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</si>
  <si>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</si>
  <si>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</si>
  <si>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</si>
  <si>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</si>
  <si>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</si>
  <si>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</si>
  <si>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</si>
  <si>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</si>
  <si>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</si>
  <si>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</si>
  <si>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</si>
  <si>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</si>
  <si>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</si>
  <si>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</si>
  <si>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</si>
  <si>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</si>
  <si>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</si>
  <si>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</si>
  <si>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</si>
  <si>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</si>
  <si>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</si>
  <si>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</si>
  <si>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</si>
  <si>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</si>
  <si>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</si>
  <si>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</si>
  <si>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</si>
  <si>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</si>
  <si>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</si>
  <si>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</si>
  <si>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</si>
  <si>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</si>
  <si>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</si>
  <si>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</si>
  <si>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</si>
  <si>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</si>
  <si>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</si>
  <si>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</si>
  <si>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</si>
  <si>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</si>
  <si>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</si>
  <si>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</si>
  <si>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</si>
  <si>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</si>
  <si>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</si>
  <si>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</si>
  <si>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</si>
  <si>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</si>
  <si>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</si>
  <si>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</si>
  <si>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</si>
  <si>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</si>
  <si>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</si>
  <si>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</si>
  <si>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</si>
  <si>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</si>
  <si>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</si>
  <si>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</si>
  <si>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</si>
  <si>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</si>
  <si>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</si>
  <si>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</si>
  <si>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</si>
  <si>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</si>
  <si>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</si>
  <si>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</si>
  <si>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</si>
  <si>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</si>
  <si>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</si>
  <si>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</si>
  <si>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</si>
  <si>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</si>
  <si>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</si>
  <si>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</si>
  <si>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</si>
  <si>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</si>
  <si>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</si>
  <si>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</si>
  <si>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</si>
  <si>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</si>
  <si>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</si>
  <si>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</si>
  <si>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</si>
  <si>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</si>
  <si>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</si>
  <si>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</si>
  <si>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</si>
  <si>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</si>
  <si>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</si>
  <si>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</si>
  <si>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</si>
  <si>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</si>
  <si>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</si>
  <si>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</si>
  <si>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</si>
  <si>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</si>
  <si>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</si>
  <si>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</si>
  <si>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</si>
  <si>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</si>
  <si>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</si>
  <si>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</si>
  <si>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</si>
  <si>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</si>
  <si>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</si>
  <si>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</si>
  <si>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</si>
  <si>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</si>
  <si>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</si>
  <si>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</si>
  <si>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</si>
  <si>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</si>
  <si>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</si>
  <si>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</si>
  <si>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</si>
  <si>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</si>
  <si>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</si>
  <si>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</si>
  <si>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</si>
  <si>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</si>
  <si>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</si>
  <si>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</si>
  <si>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</si>
  <si>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</si>
  <si>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</si>
  <si>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</si>
  <si>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</si>
  <si>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</si>
  <si>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</si>
  <si>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</si>
  <si>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</si>
  <si>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</si>
  <si>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</si>
  <si>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</si>
  <si>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</si>
  <si>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</si>
  <si>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</si>
  <si>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</si>
  <si>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</si>
  <si>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</si>
  <si>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</si>
  <si>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</si>
  <si>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</si>
  <si>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</si>
  <si>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</si>
  <si>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</si>
  <si>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</si>
  <si>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</si>
  <si>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</si>
  <si>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</si>
  <si>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</si>
  <si>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</si>
  <si>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</si>
  <si>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</si>
  <si>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</si>
  <si>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</si>
  <si>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</si>
  <si>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</si>
  <si>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</si>
  <si>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</si>
  <si>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</si>
  <si>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</si>
  <si>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</si>
  <si>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</si>
  <si>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</si>
  <si>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</si>
  <si>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</si>
  <si>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</si>
  <si>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</si>
  <si>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</si>
  <si>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</si>
  <si>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</si>
  <si>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</si>
  <si>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</si>
  <si>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</si>
  <si>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</si>
  <si>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</si>
  <si>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</si>
  <si>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</si>
  <si>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</si>
  <si>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</si>
  <si>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</si>
  <si>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</si>
  <si>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</si>
  <si>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</si>
  <si>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</si>
  <si>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</si>
  <si>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</si>
  <si>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</si>
  <si>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</si>
  <si>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</si>
  <si>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</si>
  <si>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</si>
  <si>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</si>
  <si>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</si>
  <si>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</si>
  <si>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</si>
  <si>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</si>
  <si>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</si>
  <si>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</si>
  <si>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</si>
  <si>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</si>
  <si>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</si>
  <si>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</si>
  <si>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</si>
  <si>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</si>
  <si>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</si>
  <si>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</si>
  <si>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</si>
  <si>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</si>
  <si>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</si>
  <si>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</si>
  <si>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</si>
  <si>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</si>
  <si>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</si>
  <si>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</si>
  <si>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</si>
  <si>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</si>
  <si>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</si>
  <si>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</si>
  <si>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</si>
  <si>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</si>
  <si>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</si>
  <si>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</si>
  <si>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</si>
  <si>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</si>
  <si>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</si>
  <si>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</si>
  <si>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</si>
  <si>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</si>
  <si>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</si>
  <si>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</si>
  <si>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</si>
  <si>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</si>
  <si>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</si>
  <si>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</si>
  <si>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</si>
  <si>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</si>
  <si>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</si>
  <si>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</si>
  <si>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</si>
  <si>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</si>
  <si>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</si>
  <si>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</si>
  <si>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</si>
  <si>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</si>
  <si>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</si>
  <si>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</si>
  <si>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</si>
  <si>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</si>
  <si>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</si>
  <si>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</si>
  <si>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</si>
  <si>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</si>
  <si>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</si>
  <si>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</si>
  <si>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</si>
  <si>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</si>
  <si>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</si>
  <si>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</si>
  <si>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</si>
  <si>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</si>
  <si>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</si>
  <si>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</si>
  <si>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</si>
  <si>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</si>
  <si>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</si>
  <si>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</si>
  <si>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</si>
  <si>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</si>
  <si>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</si>
  <si>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</si>
  <si>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</si>
  <si>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</si>
  <si>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</si>
  <si>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</si>
  <si>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</si>
  <si>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</si>
  <si>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</si>
  <si>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</si>
  <si>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</si>
  <si>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</si>
  <si>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</si>
  <si>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</si>
  <si>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</si>
  <si>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</si>
  <si>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</si>
  <si>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</si>
  <si>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</si>
  <si>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</si>
  <si>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</si>
  <si>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</si>
  <si>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</si>
  <si>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</si>
  <si>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</si>
  <si>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</si>
  <si>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</si>
  <si>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</si>
  <si>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</si>
  <si>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</si>
  <si>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</si>
  <si>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</si>
  <si>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</si>
  <si>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</si>
  <si>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</si>
  <si>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</si>
  <si>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</si>
  <si>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</si>
  <si>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</si>
  <si>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</si>
  <si>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</si>
  <si>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</si>
  <si>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</si>
  <si>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</si>
  <si>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</si>
  <si>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</si>
  <si>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</si>
  <si>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</si>
  <si>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</si>
  <si>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</si>
  <si>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</si>
  <si>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</si>
  <si>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</si>
  <si>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</si>
  <si>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</si>
  <si>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</si>
  <si>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</si>
  <si>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</si>
  <si>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</si>
  <si>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</si>
  <si>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</si>
  <si>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</si>
  <si>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</si>
  <si>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</si>
  <si>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</si>
  <si>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</si>
  <si>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</si>
  <si>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</si>
  <si>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</si>
  <si>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</si>
  <si>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</si>
  <si>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</si>
  <si>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</si>
  <si>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</si>
  <si>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</si>
  <si>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</si>
  <si>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</si>
  <si>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</si>
  <si>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</si>
  <si>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</si>
  <si>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</si>
  <si>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</si>
  <si>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</si>
  <si>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</si>
  <si>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</si>
  <si>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</si>
  <si>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</si>
  <si>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</si>
  <si>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</si>
  <si>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</si>
  <si>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</si>
  <si>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</si>
  <si>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</si>
  <si>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</si>
  <si>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</si>
  <si>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</si>
  <si>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</si>
  <si>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</si>
  <si>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</si>
  <si>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</si>
  <si>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</si>
  <si>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</si>
  <si>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</si>
  <si>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</si>
  <si>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</si>
  <si>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</si>
  <si>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</si>
  <si>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</si>
  <si>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</si>
  <si>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</si>
  <si>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</si>
  <si>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</si>
  <si>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</si>
  <si>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</si>
  <si>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</si>
  <si>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</si>
  <si>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</si>
  <si>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</si>
  <si>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</si>
  <si>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</si>
  <si>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</si>
  <si>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</si>
  <si>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</si>
  <si>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</si>
  <si>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</si>
  <si>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</si>
  <si>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</si>
  <si>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</si>
  <si>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</si>
  <si>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</si>
  <si>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</si>
  <si>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</si>
  <si>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</si>
  <si>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</si>
  <si>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</si>
  <si>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</si>
  <si>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</si>
  <si>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</si>
  <si>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</si>
  <si>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</si>
  <si>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</si>
  <si>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</si>
  <si>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</si>
  <si>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</si>
  <si>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</si>
  <si>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</si>
  <si>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</si>
  <si>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</si>
  <si>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</si>
  <si>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</si>
  <si>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</si>
  <si>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</si>
  <si>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</si>
  <si>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</si>
  <si>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</si>
  <si>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</si>
  <si>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</si>
  <si>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</si>
  <si>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</si>
  <si>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</si>
  <si>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</si>
  <si>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</si>
  <si>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</si>
  <si>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</si>
  <si>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</si>
  <si>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</si>
  <si>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</si>
  <si>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</si>
  <si>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</si>
  <si>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</si>
  <si>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</si>
  <si>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</si>
  <si>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</si>
  <si>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</si>
  <si>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</si>
  <si>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</si>
  <si>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</si>
  <si>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</si>
  <si>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</si>
  <si>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</si>
  <si>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</si>
  <si>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</si>
  <si>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</si>
  <si>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</si>
  <si>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</si>
  <si>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</si>
  <si>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</si>
  <si>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</si>
  <si>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</si>
  <si>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</si>
  <si>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</si>
  <si>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</si>
  <si>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</si>
  <si>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</si>
  <si>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</si>
  <si>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</si>
  <si>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</si>
  <si>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</si>
  <si>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</si>
  <si>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</si>
  <si>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</si>
  <si>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</si>
  <si>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</si>
  <si>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</si>
  <si>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</si>
  <si>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</si>
  <si>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</si>
  <si>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</si>
  <si>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</si>
  <si>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</si>
  <si>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</si>
  <si>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</si>
  <si>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</si>
  <si>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</si>
  <si>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</si>
  <si>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</si>
  <si>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</si>
  <si>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</si>
  <si>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</si>
  <si>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</si>
  <si>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</si>
  <si>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</si>
  <si>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</si>
  <si>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</si>
  <si>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</si>
  <si>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</si>
  <si>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</si>
  <si>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</si>
  <si>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</si>
  <si>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</si>
  <si>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</si>
  <si>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</si>
  <si>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</si>
  <si>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</si>
  <si>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</si>
  <si>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</si>
  <si>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</si>
  <si>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</si>
  <si>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</si>
  <si>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</si>
  <si>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</si>
  <si>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</si>
  <si>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</si>
  <si>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</si>
  <si>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</si>
  <si>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</si>
  <si>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</si>
  <si>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</si>
  <si>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</si>
  <si>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</si>
  <si>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</si>
  <si>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</si>
  <si>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</si>
  <si>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</si>
  <si>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</si>
  <si>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</si>
  <si>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</si>
  <si>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</si>
  <si>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</si>
  <si>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</si>
  <si>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</si>
  <si>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</si>
  <si>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</si>
  <si>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</si>
  <si>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</si>
  <si>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</si>
  <si>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</si>
  <si>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</si>
  <si>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</si>
  <si>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</si>
  <si>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</si>
  <si>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</si>
  <si>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</si>
  <si>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</si>
  <si>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</si>
  <si>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</si>
  <si>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</si>
  <si>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</si>
  <si>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</si>
  <si>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</si>
  <si>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</si>
  <si>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</si>
  <si>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</si>
  <si>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</si>
  <si>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</si>
  <si>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</si>
  <si>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</si>
  <si>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</si>
  <si>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</si>
  <si>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</si>
  <si>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</si>
  <si>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</si>
  <si>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</si>
  <si>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</si>
  <si>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</si>
  <si>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</si>
  <si>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</si>
  <si>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</si>
  <si>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</si>
  <si>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</si>
  <si>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</si>
  <si>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</si>
  <si>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</si>
  <si>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</si>
  <si>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</si>
  <si>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</si>
  <si>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</si>
  <si>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</si>
  <si>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</si>
  <si>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</si>
  <si>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</si>
  <si>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</si>
  <si>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</si>
  <si>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</si>
  <si>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</si>
  <si>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</si>
  <si>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</si>
  <si>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</si>
  <si>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</si>
  <si>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</si>
  <si>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</si>
  <si>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</si>
  <si>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</si>
  <si>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</si>
  <si>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</si>
  <si>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</si>
  <si>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</si>
  <si>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</si>
  <si>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</si>
  <si>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</si>
  <si>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</si>
  <si>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</si>
  <si>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</si>
  <si>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</si>
  <si>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</si>
  <si>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</si>
  <si>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</si>
  <si>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</si>
  <si>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</si>
  <si>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</si>
  <si>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</si>
  <si>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</si>
  <si>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</si>
  <si>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</si>
  <si>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</si>
  <si>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</si>
  <si>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</si>
  <si>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</si>
  <si>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</si>
  <si>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</si>
  <si>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</si>
  <si>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</si>
  <si>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</si>
  <si>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</si>
  <si>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</si>
  <si>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</si>
  <si>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</si>
  <si>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</si>
  <si>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</si>
  <si>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</si>
  <si>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</si>
  <si>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</si>
  <si>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</si>
  <si>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</si>
  <si>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</si>
  <si>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</si>
  <si>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</si>
  <si>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</si>
  <si>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</si>
  <si>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</si>
  <si>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</si>
  <si>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</si>
  <si>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</si>
  <si>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</si>
  <si>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</si>
  <si>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</si>
  <si>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</si>
  <si>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</si>
  <si>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</si>
  <si>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</si>
  <si>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</si>
  <si>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</si>
  <si>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</si>
  <si>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</si>
  <si>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</si>
  <si>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</si>
  <si>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</si>
  <si>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</si>
  <si>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</si>
  <si>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</si>
  <si>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</si>
  <si>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</si>
  <si>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</si>
  <si>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</si>
  <si>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</si>
  <si>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</si>
  <si>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</si>
  <si>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</si>
  <si>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</si>
  <si>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</si>
  <si>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</si>
  <si>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</si>
  <si>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</si>
  <si>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</si>
  <si>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</si>
  <si>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</si>
  <si>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</si>
  <si>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</si>
  <si>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</si>
  <si>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</si>
  <si>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</si>
  <si>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</si>
  <si>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</si>
  <si>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</si>
  <si>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</si>
  <si>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</si>
  <si>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</si>
  <si>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</si>
  <si>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</si>
  <si>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</si>
  <si>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</si>
  <si>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</si>
  <si>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</si>
  <si>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</si>
  <si>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</si>
  <si>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</si>
  <si>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</si>
  <si>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</si>
  <si>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</si>
  <si>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</si>
  <si>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</si>
  <si>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</si>
  <si>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</si>
  <si>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</si>
  <si>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</si>
  <si>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</si>
  <si>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</si>
  <si>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</si>
  <si>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</si>
  <si>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</si>
  <si>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</si>
  <si>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</si>
  <si>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</si>
  <si>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</si>
  <si>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</si>
  <si>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</si>
  <si>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</si>
  <si>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</si>
  <si>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</si>
  <si>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</si>
  <si>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</si>
  <si>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</si>
  <si>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</si>
  <si>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</si>
  <si>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</si>
  <si>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</si>
  <si>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</si>
  <si>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</si>
  <si>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</si>
  <si>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</si>
  <si>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</si>
  <si>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</si>
  <si>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</si>
  <si>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</si>
  <si>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</si>
  <si>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</si>
  <si>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</si>
  <si>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</si>
  <si>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</si>
  <si>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</si>
  <si>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</si>
  <si>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</si>
  <si>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</si>
  <si>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</si>
  <si>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</si>
  <si>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</si>
  <si>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</si>
  <si>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</si>
  <si>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</si>
  <si>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</si>
  <si>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</si>
  <si>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</si>
  <si>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</si>
  <si>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</si>
  <si>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</si>
  <si>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</si>
  <si>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</si>
  <si>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</si>
  <si>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</si>
  <si>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</si>
  <si>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</si>
  <si>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</si>
  <si>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</si>
  <si>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</si>
  <si>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</si>
  <si>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</si>
  <si>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</si>
  <si>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</si>
  <si>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</si>
  <si>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</si>
  <si>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</si>
  <si>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</si>
  <si>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</si>
  <si>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</si>
  <si>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</si>
  <si>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</si>
  <si>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</si>
  <si>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</si>
  <si>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</si>
  <si>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</si>
  <si>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</si>
  <si>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</si>
  <si>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</si>
  <si>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</si>
  <si>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</si>
  <si>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</si>
  <si>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</si>
  <si>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</si>
  <si>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</si>
  <si>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</si>
  <si>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</si>
  <si>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</si>
  <si>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</si>
  <si>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</si>
  <si>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</si>
  <si>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</si>
  <si>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</si>
  <si>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</si>
  <si>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</si>
  <si>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</si>
  <si>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</si>
  <si>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</si>
  <si>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</si>
  <si>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</si>
  <si>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</si>
  <si>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</si>
  <si>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</si>
  <si>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</si>
  <si>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</si>
  <si>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</si>
  <si>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</si>
  <si>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</si>
  <si>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</si>
  <si>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</si>
  <si>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</si>
  <si>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</si>
  <si>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</si>
  <si>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</si>
  <si>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</si>
  <si>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</si>
  <si>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</si>
  <si>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</si>
  <si>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</si>
  <si>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</si>
  <si>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</si>
  <si>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</si>
  <si>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</si>
  <si>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</si>
  <si>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</si>
  <si>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</si>
  <si>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</si>
  <si>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</si>
  <si>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</si>
  <si>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</si>
  <si>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</si>
  <si>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</si>
  <si>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</si>
  <si>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</si>
  <si>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</si>
  <si>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</si>
  <si>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</si>
  <si>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</si>
  <si>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</si>
  <si>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</si>
  <si>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</si>
  <si>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</si>
  <si>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</si>
  <si>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</si>
  <si>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</si>
  <si>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</si>
  <si>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</si>
  <si>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</si>
  <si>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</si>
  <si>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</si>
  <si>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</si>
  <si>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</si>
  <si>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</si>
  <si>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</si>
  <si>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</si>
  <si>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</si>
  <si>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</si>
  <si>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</si>
  <si>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</si>
  <si>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</si>
  <si>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</si>
  <si>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</si>
  <si>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</si>
  <si>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</si>
  <si>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</si>
  <si>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</si>
  <si>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</si>
  <si>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</si>
  <si>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</si>
  <si>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</si>
  <si>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</si>
  <si>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</si>
  <si>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</si>
  <si>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</si>
  <si>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</si>
  <si>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</si>
  <si>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</si>
  <si>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</si>
  <si>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</si>
  <si>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</si>
  <si>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</si>
  <si>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</si>
  <si>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</si>
  <si>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</si>
  <si>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</si>
  <si>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</si>
  <si>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</si>
  <si>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</si>
  <si>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</si>
  <si>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</si>
  <si>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</si>
  <si>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</si>
  <si>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</si>
  <si>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</si>
  <si>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</si>
  <si>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</si>
  <si>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</si>
  <si>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</si>
  <si>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</si>
  <si>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</si>
  <si>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</si>
  <si>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</si>
  <si>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</si>
  <si>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</si>
  <si>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</si>
  <si>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</si>
  <si>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</si>
  <si>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</si>
  <si>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</si>
  <si>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</si>
  <si>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</si>
  <si>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</si>
  <si>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</si>
  <si>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</si>
  <si>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</si>
  <si>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</si>
  <si>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</si>
  <si>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</si>
  <si>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</si>
  <si>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</si>
  <si>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</si>
  <si>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</si>
  <si>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</si>
  <si>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</si>
  <si>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</si>
  <si>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</si>
  <si>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</si>
  <si>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</si>
  <si>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</si>
  <si>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</si>
  <si>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</si>
  <si>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</si>
  <si>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</si>
  <si>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</si>
  <si>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</si>
  <si>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</si>
  <si>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</si>
  <si>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</si>
  <si>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</si>
  <si>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</si>
  <si>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</si>
  <si>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</si>
  <si>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</si>
  <si>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</si>
  <si>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</si>
  <si>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</si>
  <si>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</si>
  <si>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</si>
  <si>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</si>
  <si>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</si>
  <si>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</si>
  <si>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</si>
  <si>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</si>
  <si>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</si>
  <si>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</si>
  <si>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</si>
  <si>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</si>
  <si>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</si>
  <si>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</si>
  <si>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</si>
  <si>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</si>
  <si>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</si>
  <si>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</si>
  <si>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</si>
  <si>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</si>
  <si>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</si>
  <si>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</si>
  <si>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</si>
  <si>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</si>
  <si>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</si>
  <si>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</si>
  <si>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</si>
  <si>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</si>
  <si>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</si>
  <si>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</si>
  <si>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</si>
  <si>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</si>
  <si>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</si>
  <si>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</si>
  <si>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</si>
  <si>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</si>
  <si>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</si>
  <si>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</si>
  <si>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</si>
  <si>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</si>
  <si>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</si>
  <si>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</si>
  <si>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</si>
  <si>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</si>
  <si>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</si>
  <si>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</si>
  <si>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</si>
  <si>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</si>
  <si>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</si>
  <si>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</si>
  <si>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</si>
  <si>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</si>
  <si>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</si>
  <si>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</si>
  <si>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</si>
  <si>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</si>
  <si>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</si>
  <si>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</si>
  <si>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</si>
  <si>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</si>
  <si>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</si>
  <si>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</si>
  <si>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</si>
  <si>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</si>
  <si>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</si>
  <si>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</si>
  <si>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</si>
  <si>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</si>
  <si>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</si>
  <si>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</si>
  <si>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</si>
  <si>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</si>
  <si>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</si>
  <si>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</si>
  <si>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</si>
  <si>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</si>
  <si>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</si>
  <si>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</si>
  <si>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</si>
  <si>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</si>
  <si>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</si>
  <si>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</si>
  <si>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</si>
  <si>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</si>
  <si>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</si>
  <si>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</si>
  <si>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</si>
  <si>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</si>
  <si>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</si>
  <si>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</si>
  <si>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</si>
  <si>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</si>
  <si>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</si>
  <si>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</si>
  <si>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</si>
  <si>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</si>
  <si>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</si>
  <si>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</si>
  <si>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</si>
  <si>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</si>
  <si>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</si>
  <si>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</si>
  <si>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</si>
  <si>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</si>
  <si>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</si>
  <si>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</si>
  <si>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</si>
  <si>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</si>
  <si>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</si>
  <si>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</si>
  <si>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</si>
  <si>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</si>
  <si>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</si>
  <si>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</si>
  <si>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</si>
  <si>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</si>
  <si>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</si>
  <si>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</si>
  <si>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</si>
  <si>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</si>
  <si>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</si>
  <si>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</si>
  <si>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</si>
  <si>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</si>
  <si>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</si>
  <si>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</si>
  <si>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</si>
  <si>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</si>
  <si>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</si>
  <si>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</si>
  <si>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</si>
  <si>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</si>
  <si>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</si>
  <si>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</si>
  <si>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</si>
  <si>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</si>
  <si>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</si>
  <si>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</si>
  <si>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</si>
  <si>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</si>
  <si>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</si>
  <si>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</si>
  <si>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</si>
  <si>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</si>
  <si>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</si>
  <si>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</si>
  <si>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</si>
  <si>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</si>
  <si>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</si>
  <si>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</si>
  <si>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</si>
  <si>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</si>
  <si>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</si>
  <si>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</si>
  <si>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</si>
  <si>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</si>
  <si>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</si>
  <si>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</si>
  <si>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</si>
  <si>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</si>
  <si>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</si>
  <si>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</si>
  <si>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</si>
  <si>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</si>
  <si>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</si>
  <si>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</si>
  <si>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</si>
  <si>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</si>
  <si>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</si>
  <si>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</si>
  <si>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</si>
  <si>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</si>
  <si>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</si>
  <si>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</si>
  <si>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</si>
  <si>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</si>
  <si>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</si>
  <si>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</si>
  <si>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</si>
  <si>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</si>
  <si>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</si>
  <si>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</si>
  <si>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</si>
  <si>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</si>
  <si>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</si>
  <si>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</si>
  <si>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</si>
  <si>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</si>
  <si>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</si>
  <si>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</si>
  <si>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</si>
  <si>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</si>
  <si>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</si>
  <si>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</si>
  <si>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</si>
  <si>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</si>
  <si>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</si>
  <si>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</si>
  <si>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</si>
  <si>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</si>
  <si>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</si>
  <si>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</si>
  <si>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</si>
  <si>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</si>
  <si>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</si>
  <si>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</si>
  <si>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</si>
  <si>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</si>
  <si>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</si>
  <si>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</si>
  <si>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</si>
  <si>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</si>
  <si>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</si>
  <si>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</si>
  <si>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</si>
  <si>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</si>
  <si>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</si>
  <si>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</si>
  <si>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</si>
  <si>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</si>
  <si>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</si>
  <si>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</si>
  <si>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</si>
  <si>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</si>
  <si>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</si>
  <si>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</si>
  <si>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</si>
  <si>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</si>
  <si>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</si>
  <si>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</si>
  <si>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</si>
  <si>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</si>
  <si>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</si>
  <si>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</si>
  <si>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</si>
  <si>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</si>
  <si>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</si>
  <si>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</si>
  <si>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</si>
  <si>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</si>
  <si>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</si>
  <si>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</si>
  <si>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</si>
  <si>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</si>
  <si>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</si>
  <si>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</si>
  <si>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</si>
  <si>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</si>
  <si>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</si>
  <si>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</si>
  <si>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</si>
  <si>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</si>
  <si>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</si>
  <si>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</si>
  <si>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</si>
  <si>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</si>
  <si>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</si>
  <si>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</si>
  <si>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</si>
  <si>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</si>
  <si>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</si>
  <si>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</si>
  <si>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</si>
  <si>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</si>
  <si>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</si>
  <si>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</si>
  <si>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</si>
  <si>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</si>
  <si>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</si>
  <si>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</si>
  <si>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</si>
  <si>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</si>
  <si>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</si>
  <si>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</si>
  <si>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</si>
  <si>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</si>
  <si>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</si>
  <si>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</si>
  <si>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</si>
  <si>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</si>
  <si>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</si>
  <si>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</si>
  <si>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</si>
  <si>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</si>
  <si>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</si>
  <si>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</si>
  <si>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</si>
  <si>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</si>
  <si>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</si>
  <si>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</si>
  <si>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</si>
  <si>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</si>
  <si>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</si>
  <si>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</si>
  <si>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</si>
  <si>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</si>
  <si>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</si>
  <si>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</si>
  <si>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</si>
  <si>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</si>
  <si>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</si>
  <si>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</si>
  <si>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</si>
  <si>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</si>
  <si>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</si>
  <si>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</si>
  <si>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</si>
  <si>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</si>
  <si>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</si>
  <si>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</si>
  <si>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</si>
  <si>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</si>
  <si>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</si>
  <si>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</si>
  <si>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</si>
  <si>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</si>
  <si>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</si>
  <si>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</si>
  <si>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</si>
  <si>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</si>
  <si>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</si>
  <si>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</si>
  <si>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</si>
  <si>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</si>
  <si>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</si>
  <si>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</si>
  <si>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</si>
  <si>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</si>
  <si>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</si>
  <si>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</si>
  <si>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</si>
  <si>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</si>
  <si>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</si>
  <si>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</si>
  <si>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</si>
  <si>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</si>
  <si>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</si>
  <si>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</si>
  <si>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</si>
  <si>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</si>
  <si>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</si>
  <si>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</si>
  <si>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</si>
  <si>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</si>
  <si>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</si>
  <si>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</si>
  <si>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</si>
  <si>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</si>
  <si>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</si>
  <si>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</si>
  <si>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</si>
  <si>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</si>
  <si>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</si>
  <si>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</si>
  <si>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</si>
  <si>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</si>
  <si>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</si>
  <si>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</si>
  <si>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</si>
  <si>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</si>
  <si>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</si>
  <si>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</si>
  <si>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</si>
  <si>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</si>
  <si>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</si>
  <si>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</si>
  <si>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</si>
  <si>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</si>
  <si>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</si>
  <si>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</si>
  <si>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</si>
  <si>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</si>
  <si>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</si>
  <si>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</si>
  <si>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</si>
  <si>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</si>
  <si>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</si>
  <si>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</si>
  <si>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</si>
  <si>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</si>
  <si>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</si>
  <si>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</si>
  <si>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</si>
  <si>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</si>
  <si>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</si>
  <si>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</si>
  <si>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</si>
  <si>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</si>
  <si>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</si>
  <si>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</si>
  <si>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</si>
  <si>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</si>
  <si>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</si>
  <si>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</si>
  <si>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</si>
  <si>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</si>
  <si>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</si>
  <si>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</si>
  <si>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</si>
  <si>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</si>
  <si>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</si>
  <si>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</si>
  <si>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</si>
  <si>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</si>
  <si>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</si>
  <si>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</si>
  <si>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</si>
  <si>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</si>
  <si>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</si>
  <si>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</si>
  <si>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</si>
  <si>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</si>
  <si>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</si>
  <si>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</si>
  <si>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</si>
  <si>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</si>
  <si>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</si>
  <si>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</si>
  <si>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</si>
  <si>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</si>
  <si>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</si>
  <si>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</si>
  <si>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</si>
  <si>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</si>
  <si>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</si>
  <si>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</si>
  <si>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</si>
  <si>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</si>
  <si>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</si>
  <si>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</si>
  <si>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</si>
  <si>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</si>
  <si>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</si>
  <si>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</si>
  <si>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</si>
  <si>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</si>
  <si>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</si>
  <si>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</si>
  <si>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</si>
  <si>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</si>
  <si>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</si>
  <si>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</si>
  <si>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</si>
  <si>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</si>
  <si>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</si>
  <si>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</si>
  <si>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</si>
  <si>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</si>
  <si>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</si>
  <si>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</si>
  <si>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</si>
  <si>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</si>
  <si>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</si>
  <si>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</si>
  <si>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</si>
  <si>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</si>
  <si>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</si>
  <si>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</si>
  <si>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</si>
  <si>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</si>
  <si>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</si>
  <si>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</si>
  <si>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</si>
  <si>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</si>
  <si>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</si>
  <si>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</si>
  <si>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</si>
  <si>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</si>
  <si>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</si>
  <si>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</si>
  <si>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</si>
  <si>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</si>
  <si>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</si>
  <si>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</si>
  <si>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</si>
  <si>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</si>
  <si>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</si>
  <si>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</si>
  <si>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</si>
  <si>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</si>
  <si>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</si>
  <si>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</si>
  <si>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</si>
  <si>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</si>
  <si>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</si>
  <si>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</si>
  <si>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</si>
  <si>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</si>
  <si>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</si>
  <si>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</si>
  <si>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</si>
  <si>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</si>
  <si>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</si>
  <si>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</si>
  <si>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</si>
  <si>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</si>
  <si>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</si>
  <si>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</si>
  <si>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</si>
  <si>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</si>
  <si>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</si>
  <si>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</si>
  <si>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</si>
  <si>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</si>
  <si>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</si>
  <si>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</si>
  <si>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</si>
  <si>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</si>
  <si>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</si>
  <si>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</si>
  <si>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</si>
  <si>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</si>
  <si>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</si>
  <si>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</si>
  <si>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</si>
  <si>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</si>
  <si>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</si>
  <si>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</si>
  <si>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</si>
  <si>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</si>
  <si>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</si>
  <si>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</si>
  <si>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</si>
  <si>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</si>
  <si>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</si>
  <si>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</si>
  <si>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</si>
  <si>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</si>
  <si>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</si>
  <si>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</si>
  <si>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</si>
  <si>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</si>
  <si>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</si>
  <si>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</si>
  <si>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</si>
  <si>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</si>
  <si>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</si>
  <si>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</si>
  <si>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</si>
  <si>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</si>
  <si>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</si>
  <si>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</si>
  <si>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</si>
  <si>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</si>
  <si>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</si>
  <si>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</si>
  <si>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</si>
  <si>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</si>
  <si>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</si>
  <si>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</si>
  <si>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</si>
  <si>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</si>
  <si>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</si>
  <si>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</si>
  <si>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</si>
  <si>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</si>
  <si>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</si>
  <si>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</si>
  <si>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</si>
  <si>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</si>
  <si>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</si>
  <si>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</si>
  <si>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</si>
  <si>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</si>
  <si>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</si>
  <si>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</si>
  <si>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</si>
  <si>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</si>
  <si>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</si>
  <si>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</si>
  <si>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</si>
  <si>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</si>
  <si>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</si>
  <si>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</si>
  <si>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</si>
  <si>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</si>
  <si>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</si>
  <si>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</si>
  <si>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</si>
  <si>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</si>
  <si>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</si>
  <si>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</si>
  <si>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</si>
  <si>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</si>
  <si>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</si>
  <si>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</si>
  <si>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</si>
  <si>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</si>
  <si>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</si>
  <si>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</si>
  <si>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</si>
  <si>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</si>
  <si>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</si>
  <si>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</si>
  <si>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</si>
  <si>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</si>
  <si>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</si>
  <si>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</si>
  <si>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</si>
  <si>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</si>
  <si>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</si>
  <si>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</si>
  <si>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</si>
  <si>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</si>
  <si>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</si>
  <si>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</si>
  <si>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</si>
  <si>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</si>
  <si>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</si>
  <si>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</si>
  <si>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</si>
  <si>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</si>
  <si>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</si>
  <si>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</si>
  <si>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</si>
  <si>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</si>
  <si>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</si>
  <si>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</si>
  <si>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</si>
  <si>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</si>
  <si>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</si>
  <si>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</si>
  <si>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</si>
  <si>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</si>
  <si>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</si>
  <si>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</si>
  <si>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</si>
  <si>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</si>
  <si>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</si>
  <si>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</si>
  <si>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</si>
  <si>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</si>
  <si>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</si>
  <si>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</si>
  <si>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</si>
  <si>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</si>
  <si>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</si>
  <si>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</si>
  <si>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</si>
  <si>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</si>
  <si>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</si>
  <si>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</si>
  <si>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</si>
  <si>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</si>
  <si>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</si>
  <si>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</si>
  <si>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</si>
  <si>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</si>
  <si>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</si>
  <si>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</si>
  <si>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</si>
  <si>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</si>
  <si>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</si>
  <si>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</si>
  <si>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</si>
  <si>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</si>
  <si>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</si>
  <si>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</si>
  <si>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</si>
  <si>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</si>
  <si>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</si>
  <si>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</si>
  <si>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</si>
  <si>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</si>
  <si>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</si>
  <si>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</si>
  <si>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</si>
  <si>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</si>
  <si>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</si>
  <si>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</si>
  <si>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</si>
  <si>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</si>
  <si>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</si>
  <si>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</si>
  <si>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</si>
  <si>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</si>
  <si>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</si>
  <si>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</si>
  <si>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</si>
  <si>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</si>
  <si>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</si>
  <si>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</si>
  <si>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</si>
  <si>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</si>
  <si>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</si>
  <si>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</si>
  <si>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</si>
  <si>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</si>
  <si>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</si>
  <si>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</si>
  <si>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</si>
  <si>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</si>
  <si>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</si>
  <si>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</si>
  <si>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</si>
  <si>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</si>
  <si>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</si>
  <si>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</si>
  <si>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</si>
  <si>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</si>
  <si>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</si>
  <si>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</si>
  <si>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</si>
  <si>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</si>
  <si>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</si>
  <si>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</si>
  <si>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</si>
  <si>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</si>
  <si>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</si>
  <si>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</si>
  <si>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</si>
  <si>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</si>
  <si>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</si>
  <si>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</si>
  <si>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</si>
  <si>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</si>
  <si>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</si>
  <si>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</si>
  <si>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</si>
  <si>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</si>
  <si>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</si>
  <si>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</si>
  <si>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</si>
  <si>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</si>
  <si>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</si>
  <si>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</si>
  <si>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</si>
  <si>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</si>
  <si>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</si>
  <si>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</si>
  <si>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</si>
  <si>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</si>
  <si>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</si>
  <si>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</si>
  <si>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</si>
  <si>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</si>
  <si>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</si>
  <si>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</si>
  <si>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</si>
  <si>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</si>
  <si>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</si>
  <si>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</si>
  <si>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</si>
  <si>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</si>
  <si>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</si>
  <si>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</si>
  <si>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</si>
  <si>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</si>
  <si>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</si>
  <si>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</si>
  <si>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</si>
  <si>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</si>
  <si>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</si>
  <si>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</si>
  <si>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</si>
  <si>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</si>
  <si>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</si>
  <si>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</si>
  <si>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</si>
  <si>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</si>
  <si>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</si>
  <si>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</si>
  <si>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</si>
  <si>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</si>
  <si>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</si>
  <si>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</si>
  <si>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</si>
  <si>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</si>
  <si>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</si>
  <si>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</si>
  <si>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</si>
  <si>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</si>
  <si>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</si>
  <si>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</si>
  <si>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</si>
  <si>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</si>
  <si>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</si>
  <si>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</si>
  <si>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</si>
  <si>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</si>
  <si>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</si>
  <si>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</si>
  <si>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</si>
  <si>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</si>
  <si>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</si>
  <si>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</si>
  <si>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</si>
  <si>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</si>
  <si>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</si>
  <si>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</si>
  <si>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</si>
  <si>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</si>
  <si>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</si>
  <si>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</si>
  <si>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</si>
  <si>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</si>
  <si>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</si>
  <si>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</si>
  <si>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</si>
  <si>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</si>
  <si>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</si>
  <si>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</si>
  <si>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</si>
  <si>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</si>
  <si>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</si>
  <si>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</si>
  <si>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</si>
  <si>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</si>
  <si>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</si>
  <si>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</si>
  <si>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</si>
  <si>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</si>
  <si>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</si>
  <si>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</si>
  <si>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</si>
  <si>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</si>
  <si>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</si>
  <si>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</si>
  <si>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</si>
  <si>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</si>
  <si>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</si>
  <si>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</si>
  <si>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</si>
  <si>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</si>
  <si>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</si>
  <si>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</si>
  <si>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</si>
  <si>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</si>
  <si>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</si>
  <si>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</si>
  <si>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</si>
  <si>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</si>
  <si>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</si>
  <si>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</si>
  <si>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</si>
  <si>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</si>
  <si>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</si>
  <si>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</si>
  <si>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</si>
  <si>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</si>
  <si>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</si>
  <si>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</si>
  <si>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</si>
  <si>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</si>
  <si>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</si>
  <si>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</si>
  <si>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</si>
  <si>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</si>
  <si>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</si>
  <si>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</si>
  <si>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</si>
  <si>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</si>
  <si>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</si>
  <si>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</si>
  <si>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</si>
  <si>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</si>
  <si>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</si>
  <si>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</si>
  <si>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</si>
  <si>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</si>
  <si>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</si>
  <si>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</si>
  <si>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</si>
  <si>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</si>
  <si>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</si>
  <si>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</si>
  <si>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</si>
  <si>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</si>
  <si>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</si>
  <si>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</si>
  <si>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</si>
  <si>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</si>
  <si>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</si>
  <si>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</si>
  <si>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</si>
  <si>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</si>
  <si>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</si>
  <si>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</si>
  <si>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</si>
  <si>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</si>
  <si>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</si>
  <si>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</si>
  <si>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</si>
  <si>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</si>
  <si>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</si>
  <si>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</si>
  <si>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</si>
  <si>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</si>
  <si>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</si>
  <si>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</si>
  <si>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</si>
  <si>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</si>
  <si>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</si>
  <si>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</si>
  <si>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</si>
  <si>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</si>
  <si>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</si>
  <si>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</si>
  <si>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</si>
  <si>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</si>
  <si>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</si>
  <si>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</si>
  <si>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</si>
  <si>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</si>
  <si>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</si>
  <si>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</si>
  <si>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</si>
  <si>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</si>
  <si>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</si>
  <si>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</si>
  <si>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</si>
  <si>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</si>
  <si>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</si>
  <si>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</si>
  <si>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</si>
  <si>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</si>
  <si>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</si>
  <si>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</si>
  <si>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</si>
  <si>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</si>
  <si>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</si>
  <si>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</si>
  <si>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</si>
  <si>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</si>
  <si>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</si>
  <si>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</si>
  <si>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</si>
  <si>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</si>
  <si>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</si>
  <si>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</si>
  <si>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</si>
  <si>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</si>
  <si>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</si>
  <si>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</si>
  <si>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</si>
  <si>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</si>
  <si>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</si>
  <si>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</si>
  <si>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</si>
  <si>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</si>
  <si>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</si>
  <si>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</si>
  <si>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</si>
  <si>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</si>
  <si>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</si>
  <si>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</si>
  <si>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</si>
  <si>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</si>
  <si>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</si>
  <si>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</si>
  <si>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</si>
  <si>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</si>
  <si>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</si>
  <si>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</si>
  <si>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</si>
  <si>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</si>
  <si>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</si>
  <si>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</si>
  <si>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</si>
  <si>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</si>
  <si>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</si>
  <si>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</si>
  <si>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</si>
  <si>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</si>
  <si>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</si>
  <si>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</si>
  <si>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</si>
  <si>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</si>
  <si>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</si>
  <si>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</si>
  <si>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</si>
  <si>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</si>
  <si>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</si>
  <si>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</si>
  <si>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</si>
  <si>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</si>
  <si>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</si>
  <si>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</si>
  <si>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</si>
  <si>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</si>
  <si>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</si>
  <si>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</si>
  <si>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</si>
  <si>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</si>
  <si>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</si>
  <si>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</si>
  <si>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</si>
  <si>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</si>
  <si>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</si>
  <si>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</si>
  <si>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</si>
  <si>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</si>
  <si>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</si>
  <si>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</si>
  <si>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</si>
  <si>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</si>
  <si>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</si>
  <si>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</si>
  <si>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</si>
  <si>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</si>
  <si>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</si>
  <si>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</si>
  <si>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</si>
  <si>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</si>
  <si>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</si>
  <si>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</si>
  <si>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</si>
  <si>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</si>
  <si>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</si>
  <si>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</si>
  <si>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</si>
  <si>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</si>
  <si>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</si>
  <si>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</si>
  <si>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</si>
  <si>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</si>
  <si>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</si>
  <si>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</si>
  <si>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</si>
  <si>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</si>
  <si>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</si>
  <si>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</si>
  <si>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</si>
  <si>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</si>
  <si>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</si>
  <si>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</si>
  <si>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</si>
  <si>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</si>
  <si>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</si>
  <si>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</si>
  <si>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</si>
  <si>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</si>
  <si>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</si>
  <si>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</si>
  <si>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</si>
  <si>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</si>
  <si>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</si>
  <si>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</si>
  <si>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</si>
  <si>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</si>
  <si>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</si>
  <si>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</si>
  <si>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</si>
  <si>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</si>
  <si>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</si>
  <si>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</si>
  <si>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</si>
  <si>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</si>
  <si>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</si>
  <si>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</si>
  <si>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</si>
  <si>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</si>
  <si>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</si>
  <si>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</si>
  <si>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</si>
  <si>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</si>
  <si>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</si>
  <si>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</si>
  <si>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</si>
  <si>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</si>
  <si>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</si>
  <si>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</si>
  <si>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</si>
  <si>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</si>
  <si>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</si>
  <si>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</si>
  <si>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</si>
  <si>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</si>
  <si>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</si>
  <si>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</si>
  <si>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</si>
  <si>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</si>
  <si>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</si>
  <si>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</si>
  <si>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</si>
  <si>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</si>
  <si>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</si>
  <si>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</si>
  <si>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</si>
  <si>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</si>
  <si>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</si>
  <si>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</si>
  <si>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</si>
  <si>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</si>
  <si>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</si>
  <si>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</si>
  <si>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</si>
  <si>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</si>
  <si>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</si>
  <si>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</si>
  <si>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</si>
  <si>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</si>
  <si>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</si>
  <si>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</si>
  <si>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</si>
  <si>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</si>
  <si>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</si>
  <si>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</si>
  <si>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</si>
  <si>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</si>
  <si>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</si>
  <si>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</si>
  <si>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</si>
  <si>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</si>
  <si>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</si>
  <si>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</si>
  <si>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</si>
  <si>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</si>
  <si>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</si>
  <si>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</si>
  <si>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</si>
  <si>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</si>
  <si>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</si>
  <si>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</si>
  <si>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</si>
  <si>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</si>
  <si>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</si>
  <si>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</si>
  <si>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</si>
  <si>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</si>
  <si>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</si>
  <si>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</si>
  <si>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</si>
  <si>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</si>
  <si>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</si>
  <si>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</si>
  <si>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</si>
  <si>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</si>
  <si>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</si>
  <si>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</si>
  <si>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</si>
  <si>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</si>
  <si>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</si>
  <si>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</si>
  <si>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</si>
  <si>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</si>
  <si>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</si>
  <si>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</si>
  <si>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</si>
  <si>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</si>
  <si>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</si>
  <si>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</si>
  <si>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</si>
  <si>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</si>
  <si>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</si>
  <si>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</si>
  <si>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</si>
  <si>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</si>
  <si>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</si>
  <si>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</si>
  <si>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</si>
  <si>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</si>
  <si>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</si>
  <si>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</si>
  <si>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</si>
  <si>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</si>
  <si>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</si>
  <si>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</si>
  <si>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</si>
  <si>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</si>
  <si>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</si>
  <si>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</si>
  <si>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</si>
  <si>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</si>
  <si>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</si>
  <si>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</si>
  <si>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</si>
  <si>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</si>
  <si>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</si>
  <si>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</si>
  <si>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</si>
  <si>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</si>
  <si>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</si>
  <si>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</si>
  <si>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</si>
  <si>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</si>
  <si>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</si>
  <si>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</si>
  <si>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</si>
  <si>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</si>
  <si>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</si>
  <si>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</si>
  <si>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</si>
  <si>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</si>
  <si>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</si>
  <si>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</si>
  <si>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</si>
  <si>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</si>
  <si>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</si>
  <si>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</si>
  <si>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</si>
  <si>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</si>
  <si>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</si>
  <si>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</si>
  <si>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</si>
  <si>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</si>
  <si>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</si>
  <si>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</si>
  <si>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</si>
  <si>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</si>
  <si>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</si>
  <si>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</si>
  <si>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</si>
  <si>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</si>
  <si>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</si>
  <si>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</si>
  <si>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</si>
  <si>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</si>
  <si>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</si>
  <si>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</si>
  <si>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</si>
  <si>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</si>
  <si>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</si>
  <si>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</si>
  <si>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</si>
  <si>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</si>
  <si>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</si>
  <si>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</si>
  <si>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</si>
  <si>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</si>
  <si>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</si>
  <si>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</si>
  <si>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</si>
  <si>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</si>
  <si>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</si>
  <si>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</si>
  <si>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</si>
  <si>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</si>
  <si>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</si>
  <si>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</si>
  <si>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</si>
  <si>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</si>
  <si>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</si>
  <si>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</si>
  <si>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</si>
  <si>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</si>
  <si>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</si>
  <si>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</si>
  <si>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</si>
  <si>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</si>
  <si>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</si>
  <si>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</si>
  <si>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</si>
  <si>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</si>
  <si>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</si>
  <si>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</si>
  <si>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</si>
  <si>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</si>
  <si>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</si>
  <si>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</si>
  <si>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</si>
  <si>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</si>
  <si>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</si>
  <si>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</si>
  <si>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</si>
  <si>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</si>
  <si>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</si>
  <si>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</si>
  <si>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</si>
  <si>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</si>
  <si>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</si>
  <si>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</si>
  <si>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</si>
  <si>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</si>
  <si>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</si>
  <si>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</si>
  <si>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</si>
  <si>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</si>
  <si>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</si>
  <si>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</si>
  <si>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</si>
  <si>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</si>
  <si>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</si>
  <si>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</si>
  <si>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</si>
  <si>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</si>
  <si>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</si>
  <si>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</si>
  <si>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</si>
  <si>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</si>
  <si>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</si>
  <si>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</si>
  <si>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</si>
  <si>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</si>
  <si>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</si>
  <si>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</si>
  <si>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</si>
  <si>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</si>
  <si>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</si>
  <si>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</si>
  <si>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</si>
  <si>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</si>
  <si>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</si>
  <si>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</si>
  <si>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</si>
  <si>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</si>
  <si>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</si>
  <si>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</si>
  <si>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</si>
  <si>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</si>
  <si>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</si>
  <si>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</si>
  <si>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</si>
  <si>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</si>
  <si>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</si>
  <si>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</si>
  <si>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</si>
  <si>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</si>
  <si>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</si>
  <si>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</si>
  <si>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</si>
  <si>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</si>
  <si>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</si>
  <si>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</si>
  <si>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</si>
  <si>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</si>
  <si>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</si>
  <si>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</si>
  <si>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</si>
  <si>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</si>
  <si>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</si>
  <si>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</si>
  <si>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</si>
  <si>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</si>
  <si>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</si>
  <si>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</si>
  <si>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</si>
  <si>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</si>
  <si>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</si>
  <si>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</si>
  <si>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</si>
  <si>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</si>
  <si>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</si>
  <si>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</si>
  <si>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</si>
  <si>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</si>
  <si>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</si>
  <si>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</si>
  <si>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</si>
  <si>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</si>
  <si>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</si>
  <si>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</si>
  <si>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</si>
  <si>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</si>
  <si>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</si>
  <si>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</si>
  <si>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</si>
  <si>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</si>
  <si>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</si>
  <si>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</si>
  <si>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</si>
  <si>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</si>
  <si>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</si>
  <si>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</si>
  <si>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</si>
  <si>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</si>
  <si>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</si>
  <si>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</si>
  <si>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</si>
  <si>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</si>
  <si>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</si>
  <si>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</si>
  <si>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</si>
  <si>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</si>
  <si>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</si>
  <si>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</si>
  <si>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</si>
  <si>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</si>
  <si>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</si>
  <si>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</si>
  <si>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</si>
  <si>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</si>
  <si>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</si>
  <si>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</si>
  <si>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</si>
  <si>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</si>
  <si>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</si>
  <si>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</si>
  <si>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</si>
  <si>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</si>
  <si>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</si>
  <si>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</si>
  <si>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</si>
  <si>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</si>
  <si>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</si>
  <si>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</si>
  <si>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</si>
  <si>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</si>
  <si>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</si>
  <si>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</si>
  <si>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</si>
  <si>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</si>
  <si>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</si>
  <si>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</si>
  <si>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</si>
  <si>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</si>
  <si>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</si>
  <si>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</si>
  <si>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</si>
  <si>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</si>
  <si>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</si>
  <si>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</si>
  <si>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</si>
  <si>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</si>
  <si>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</si>
  <si>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</si>
  <si>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</si>
  <si>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</si>
  <si>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</si>
  <si>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</si>
  <si>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</si>
  <si>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</si>
  <si>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</si>
  <si>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</si>
  <si>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</si>
  <si>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</si>
  <si>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</si>
  <si>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</si>
  <si>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</si>
  <si>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</si>
  <si>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</si>
  <si>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</si>
  <si>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</si>
  <si>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</si>
  <si>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</si>
  <si>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</si>
  <si>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</si>
  <si>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</si>
  <si>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</si>
  <si>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</si>
  <si>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</si>
  <si>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</si>
  <si>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</si>
  <si>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</si>
  <si>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</si>
  <si>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</si>
  <si>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</si>
  <si>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</si>
  <si>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</si>
  <si>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</si>
  <si>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</si>
  <si>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</si>
  <si>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</si>
  <si>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</si>
  <si>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</si>
  <si>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</si>
  <si>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</si>
  <si>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</si>
  <si>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</si>
  <si>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</si>
  <si>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</si>
  <si>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</si>
  <si>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</si>
  <si>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</si>
  <si>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</si>
  <si>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</si>
  <si>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</si>
  <si>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</si>
  <si>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</si>
  <si>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</si>
  <si>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</si>
  <si>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</si>
  <si>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</si>
  <si>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</si>
  <si>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</si>
  <si>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</si>
  <si>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</si>
  <si>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</si>
  <si>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</si>
  <si>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</si>
  <si>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</si>
  <si>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</si>
  <si>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</si>
  <si>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</si>
  <si>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</si>
  <si>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</si>
  <si>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</si>
  <si>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</si>
  <si>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</si>
  <si>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</si>
  <si>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</si>
  <si>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</si>
  <si>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</si>
  <si>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</si>
  <si>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</si>
  <si>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</si>
  <si>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</si>
  <si>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</si>
  <si>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</si>
  <si>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</si>
  <si>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</si>
  <si>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</si>
  <si>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</si>
  <si>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</si>
  <si>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</si>
  <si>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</si>
  <si>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</si>
  <si>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</si>
  <si>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</si>
  <si>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</si>
  <si>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</si>
  <si>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</si>
  <si>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</si>
  <si>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</si>
  <si>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</si>
  <si>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</si>
  <si>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</si>
  <si>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</si>
  <si>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</si>
  <si>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</si>
  <si>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</si>
  <si>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</si>
  <si>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</si>
  <si>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</si>
  <si>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</si>
  <si>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</si>
  <si>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</si>
  <si>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</si>
  <si>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</si>
  <si>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</si>
  <si>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</si>
  <si>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</si>
  <si>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</si>
  <si>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</si>
  <si>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</si>
  <si>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</si>
  <si>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</si>
  <si>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</si>
  <si>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</si>
  <si>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</si>
  <si>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</si>
  <si>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</si>
  <si>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</si>
  <si>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</si>
  <si>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</si>
  <si>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</si>
  <si>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</si>
  <si>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</si>
  <si>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</si>
  <si>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</si>
  <si>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</si>
  <si>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</si>
  <si>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</si>
  <si>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</si>
  <si>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</si>
  <si>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</si>
  <si>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</si>
  <si>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</si>
  <si>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</si>
  <si>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</si>
  <si>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</si>
  <si>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</si>
  <si>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</si>
  <si>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</si>
  <si>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</si>
  <si>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</si>
  <si>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</si>
  <si>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</si>
  <si>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</si>
  <si>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</si>
  <si>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</si>
  <si>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</si>
  <si>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</si>
  <si>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</si>
  <si>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</si>
  <si>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</si>
  <si>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</si>
  <si>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</si>
  <si>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</si>
  <si>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</si>
  <si>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</si>
  <si>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</si>
  <si>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</si>
  <si>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</si>
  <si>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</si>
  <si>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</si>
  <si>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</si>
  <si>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</si>
  <si>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</si>
  <si>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</si>
  <si>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</si>
  <si>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</si>
  <si>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</si>
  <si>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</si>
  <si>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</si>
  <si>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</si>
  <si>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</si>
  <si>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</si>
  <si>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</si>
  <si>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</si>
  <si>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</si>
  <si>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</si>
  <si>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</si>
  <si>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</si>
  <si>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</si>
  <si>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</si>
  <si>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</si>
  <si>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</si>
  <si>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</si>
  <si>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</si>
  <si>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</si>
  <si>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</si>
  <si>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</si>
  <si>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</si>
  <si>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</si>
  <si>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</si>
  <si>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</si>
  <si>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</si>
  <si>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</si>
  <si>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</si>
  <si>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</si>
  <si>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</si>
  <si>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</si>
  <si>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</si>
  <si>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</si>
  <si>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</si>
  <si>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</si>
  <si>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</si>
  <si>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</si>
  <si>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</si>
  <si>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</si>
  <si>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</si>
  <si>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</si>
  <si>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</si>
  <si>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</si>
  <si>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</si>
  <si>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</si>
  <si>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</si>
  <si>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</si>
  <si>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</si>
  <si>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</si>
  <si>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</si>
  <si>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</si>
  <si>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</si>
  <si>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</si>
  <si>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</si>
  <si>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</si>
  <si>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</si>
  <si>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</si>
  <si>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</si>
  <si>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</si>
  <si>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</si>
  <si>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</si>
  <si>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</si>
  <si>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</si>
  <si>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</si>
  <si>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</si>
  <si>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</si>
  <si>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</si>
  <si>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</si>
  <si>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</si>
  <si>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</si>
  <si>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</si>
  <si>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</si>
  <si>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</si>
  <si>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</si>
  <si>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</si>
  <si>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</si>
  <si>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</si>
  <si>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</si>
  <si>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</si>
  <si>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</si>
  <si>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</si>
  <si>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</si>
  <si>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</si>
  <si>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</si>
  <si>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</si>
  <si>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</si>
  <si>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</si>
  <si>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</si>
  <si>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</si>
  <si>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</si>
  <si>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</si>
  <si>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</si>
  <si>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</si>
  <si>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</si>
  <si>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</si>
  <si>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</si>
  <si>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</si>
  <si>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</si>
  <si>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</si>
  <si>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</si>
  <si>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</si>
  <si>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</si>
  <si>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</si>
  <si>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</si>
  <si>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</si>
  <si>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</si>
  <si>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</si>
  <si>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</si>
  <si>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</si>
  <si>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</si>
  <si>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</si>
  <si>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</si>
  <si>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</si>
  <si>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</si>
  <si>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</si>
  <si>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</si>
  <si>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</si>
  <si>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</si>
  <si>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</si>
  <si>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</si>
  <si>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</si>
  <si>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</si>
  <si>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</si>
  <si>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</si>
  <si>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</si>
  <si>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</si>
  <si>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</si>
  <si>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</si>
  <si>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</si>
  <si>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</si>
  <si>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</si>
  <si>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</si>
  <si>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</si>
  <si>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</si>
  <si>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</si>
  <si>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</si>
  <si>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</si>
  <si>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</si>
  <si>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</si>
  <si>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</si>
  <si>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</si>
  <si>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</si>
  <si>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</si>
  <si>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</si>
  <si>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</si>
  <si>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</si>
  <si>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</si>
  <si>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</si>
  <si>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</si>
  <si>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</si>
  <si>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</si>
  <si>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</si>
  <si>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</si>
  <si>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</si>
  <si>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</si>
  <si>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</si>
  <si>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</si>
  <si>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</si>
  <si>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</si>
  <si>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</si>
  <si>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</si>
  <si>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</si>
  <si>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</si>
  <si>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</si>
  <si>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</si>
  <si>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</si>
  <si>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</si>
  <si>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</si>
  <si>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</si>
  <si>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</si>
  <si>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</si>
  <si>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</si>
  <si>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</si>
  <si>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</si>
  <si>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</si>
  <si>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</si>
  <si>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</si>
  <si>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</si>
  <si>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</si>
  <si>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</si>
  <si>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</si>
  <si>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</si>
  <si>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</si>
  <si>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</si>
  <si>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</si>
  <si>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</si>
  <si>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</si>
  <si>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</si>
  <si>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</si>
  <si>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</si>
  <si>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</si>
  <si>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</si>
  <si>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</si>
  <si>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</si>
  <si>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</si>
  <si>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</si>
  <si>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</si>
  <si>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</si>
  <si>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</si>
  <si>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</si>
  <si>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</si>
  <si>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</si>
  <si>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</si>
  <si>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</si>
  <si>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</si>
  <si>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</si>
  <si>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</si>
  <si>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</si>
  <si>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</si>
  <si>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</si>
  <si>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</si>
  <si>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</si>
  <si>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</si>
  <si>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</si>
  <si>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</si>
  <si>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</si>
  <si>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</si>
  <si>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</si>
  <si>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</si>
  <si>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</si>
  <si>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</si>
  <si>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</si>
  <si>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</si>
  <si>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</si>
  <si>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</si>
  <si>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</si>
  <si>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</si>
  <si>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</si>
  <si>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</si>
  <si>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</si>
  <si>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</si>
  <si>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</si>
  <si>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</si>
  <si>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</si>
  <si>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</si>
  <si>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</si>
  <si>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</si>
  <si>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</si>
  <si>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</si>
  <si>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</si>
  <si>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</si>
  <si>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</si>
  <si>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</si>
  <si>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</si>
  <si>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</si>
  <si>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</si>
  <si>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</si>
  <si>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</si>
  <si>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</si>
  <si>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</si>
  <si>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</si>
  <si>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</si>
  <si>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</si>
  <si>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</si>
  <si>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</si>
  <si>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</si>
  <si>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</si>
  <si>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</si>
  <si>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</si>
  <si>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</si>
  <si>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</si>
  <si>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</si>
  <si>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</si>
  <si>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</si>
  <si>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</si>
  <si>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</si>
  <si>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</si>
  <si>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</si>
  <si>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</si>
  <si>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</si>
  <si>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</si>
  <si>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</si>
  <si>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</si>
  <si>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</si>
  <si>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</si>
  <si>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</si>
  <si>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</si>
  <si>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</si>
  <si>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</si>
  <si>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</si>
  <si>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</si>
  <si>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</si>
  <si>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</si>
  <si>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</si>
  <si>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</si>
  <si>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</si>
  <si>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</si>
  <si>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</si>
  <si>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</si>
  <si>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</si>
  <si>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</si>
  <si>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</si>
  <si>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</si>
  <si>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</si>
  <si>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</si>
  <si>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</si>
  <si>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</si>
  <si>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</si>
  <si>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</si>
  <si>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</si>
  <si>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</si>
  <si>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</si>
  <si>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</si>
  <si>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</si>
  <si>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</si>
  <si>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</si>
  <si>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</si>
  <si>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</si>
  <si>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</si>
  <si>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</si>
  <si>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</si>
  <si>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</si>
  <si>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</si>
  <si>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</si>
  <si>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</si>
  <si>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</si>
  <si>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</si>
  <si>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</si>
  <si>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</si>
  <si>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</si>
  <si>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</si>
  <si>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</si>
  <si>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</si>
  <si>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</si>
  <si>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</si>
  <si>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</si>
  <si>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</si>
  <si>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</si>
  <si>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</si>
  <si>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</si>
  <si>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</si>
  <si>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</si>
  <si>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</si>
  <si>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</si>
  <si>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</si>
  <si>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</si>
  <si>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</si>
  <si>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</si>
  <si>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</si>
  <si>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</si>
  <si>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</si>
  <si>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</si>
  <si>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</si>
  <si>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</si>
  <si>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</si>
  <si>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</si>
  <si>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</si>
  <si>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</si>
  <si>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</si>
  <si>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</si>
  <si>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</si>
  <si>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</si>
  <si>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</si>
  <si>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</si>
  <si>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</si>
  <si>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</si>
  <si>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</si>
  <si>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</si>
  <si>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</si>
  <si>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</si>
  <si>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</si>
  <si>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</si>
  <si>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</si>
  <si>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</si>
  <si>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</si>
  <si>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</si>
  <si>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</si>
  <si>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</si>
  <si>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</si>
  <si>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</si>
  <si>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</si>
  <si>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</si>
  <si>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</si>
  <si>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</si>
  <si>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</si>
  <si>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</si>
  <si>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</si>
  <si>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</si>
  <si>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</si>
  <si>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</si>
  <si>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</si>
  <si>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</si>
  <si>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</si>
  <si>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</si>
  <si>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</si>
  <si>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</si>
  <si>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</si>
  <si>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</si>
  <si>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</si>
  <si>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</si>
  <si>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</si>
  <si>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</si>
  <si>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</si>
  <si>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</si>
  <si>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</si>
  <si>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</si>
  <si>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</si>
  <si>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</si>
  <si>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</si>
  <si>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</si>
  <si>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</si>
  <si>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</si>
  <si>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</si>
  <si>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</si>
  <si>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</si>
  <si>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</si>
  <si>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</si>
  <si>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</si>
  <si>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</si>
  <si>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</si>
  <si>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</si>
  <si>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</si>
  <si>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</si>
  <si>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</si>
  <si>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</si>
  <si>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</si>
  <si>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</si>
  <si>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</si>
  <si>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</si>
  <si>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</si>
  <si>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</si>
  <si>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</si>
  <si>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</si>
  <si>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</si>
  <si>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</si>
  <si>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</si>
  <si>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</si>
  <si>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</si>
  <si>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</si>
  <si>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</si>
  <si>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</si>
  <si>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</si>
  <si>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</si>
  <si>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</si>
  <si>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</si>
  <si>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</si>
  <si>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</si>
  <si>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</si>
  <si>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</si>
  <si>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</si>
  <si>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</si>
  <si>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</si>
  <si>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</si>
  <si>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</si>
  <si>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</si>
  <si>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</si>
  <si>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</si>
  <si>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</si>
  <si>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</si>
  <si>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</si>
  <si>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</si>
  <si>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</si>
  <si>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</si>
  <si>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</si>
  <si>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</si>
  <si>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</si>
  <si>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</si>
  <si>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</si>
  <si>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</si>
  <si>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</si>
  <si>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</si>
  <si>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</si>
  <si>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</si>
  <si>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</si>
  <si>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</si>
  <si>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</si>
  <si>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</si>
  <si>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</si>
  <si>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</si>
  <si>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</si>
  <si>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</si>
  <si>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</si>
  <si>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</si>
  <si>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</si>
  <si>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</si>
  <si>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</si>
  <si>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</si>
  <si>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</si>
  <si>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</si>
  <si>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</si>
  <si>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</si>
  <si>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</si>
  <si>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</si>
  <si>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</si>
  <si>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</si>
  <si>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</si>
  <si>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</si>
  <si>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</si>
  <si>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</si>
  <si>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</si>
  <si>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</si>
  <si>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</si>
  <si>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</si>
  <si>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</si>
  <si>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</si>
  <si>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</si>
  <si>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</si>
  <si>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</si>
  <si>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</si>
  <si>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</si>
  <si>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</si>
  <si>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</si>
  <si>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</si>
  <si>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</si>
  <si>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</si>
  <si>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</si>
  <si>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</si>
  <si>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</si>
  <si>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</si>
  <si>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</si>
  <si>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</si>
  <si>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</si>
  <si>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</si>
  <si>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</si>
  <si>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</si>
  <si>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</si>
  <si>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</si>
  <si>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</si>
  <si>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</si>
  <si>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</si>
  <si>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</si>
  <si>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</si>
  <si>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</si>
  <si>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</si>
  <si>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</si>
  <si>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</si>
  <si>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</si>
  <si>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</si>
  <si>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</si>
  <si>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</si>
  <si>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</si>
  <si>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</si>
  <si>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</si>
  <si>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</si>
  <si>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</si>
  <si>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</si>
  <si>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</si>
  <si>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</si>
  <si>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</si>
  <si>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</si>
  <si>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</si>
  <si>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</si>
  <si>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</si>
  <si>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</si>
  <si>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</si>
  <si>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</si>
  <si>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</si>
  <si>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</si>
  <si>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</si>
  <si>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</si>
  <si>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</si>
  <si>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</si>
  <si>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</si>
  <si>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</si>
  <si>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</si>
  <si>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</si>
  <si>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</si>
  <si>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</si>
  <si>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</si>
  <si>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</si>
  <si>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</si>
  <si>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</si>
  <si>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</si>
  <si>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</si>
  <si>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</si>
  <si>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</si>
  <si>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</si>
  <si>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</si>
  <si>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</si>
  <si>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</si>
  <si>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</si>
  <si>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</si>
  <si>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</si>
  <si>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</si>
  <si>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</si>
  <si>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</si>
  <si>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</si>
  <si>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</si>
  <si>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</si>
  <si>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</si>
  <si>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</si>
  <si>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</si>
  <si>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</si>
  <si>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</si>
  <si>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</si>
  <si>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</si>
  <si>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</si>
  <si>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</si>
  <si>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</si>
  <si>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</si>
  <si>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</si>
  <si>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</si>
  <si>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</si>
  <si>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</si>
  <si>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</si>
  <si>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</si>
  <si>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</si>
  <si>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</si>
  <si>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</si>
  <si>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</si>
  <si>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</si>
  <si>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</si>
  <si>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</si>
  <si>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</si>
  <si>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</si>
  <si>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</si>
  <si>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</si>
  <si>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</si>
  <si>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</si>
  <si>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</si>
  <si>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</si>
  <si>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</si>
  <si>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</si>
  <si>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</si>
  <si>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</si>
  <si>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</si>
  <si>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</si>
  <si>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</si>
  <si>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</si>
  <si>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</si>
  <si>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</si>
  <si>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</si>
  <si>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</si>
  <si>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</si>
  <si>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</si>
  <si>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</si>
  <si>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</si>
  <si>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</si>
  <si>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</si>
  <si>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</si>
  <si>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</si>
  <si>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</si>
  <si>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</si>
  <si>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</si>
  <si>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</si>
  <si>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</si>
  <si>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</si>
  <si>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</si>
  <si>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</si>
  <si>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</si>
  <si>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</si>
  <si>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</si>
  <si>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</si>
  <si>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</si>
  <si>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</si>
  <si>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</si>
  <si>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</si>
  <si>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</si>
  <si>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</si>
  <si>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</si>
  <si>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</si>
  <si>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</si>
  <si>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</si>
  <si>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</si>
  <si>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</si>
  <si>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</si>
  <si>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</si>
  <si>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</si>
  <si>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</si>
  <si>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</si>
  <si>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</si>
  <si>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</si>
  <si>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</si>
  <si>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</si>
  <si>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</si>
  <si>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</si>
  <si>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</si>
  <si>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</si>
  <si>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</si>
  <si>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</si>
  <si>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</si>
  <si>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</si>
  <si>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</si>
  <si>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</si>
  <si>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</si>
  <si>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</si>
  <si>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</si>
  <si>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</si>
  <si>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</si>
  <si>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</si>
  <si>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</si>
  <si>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</si>
  <si>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</si>
  <si>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</si>
  <si>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</si>
  <si>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</si>
  <si>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</si>
  <si>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</si>
  <si>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</si>
  <si>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</si>
  <si>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</si>
  <si>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</si>
  <si>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</si>
  <si>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</si>
  <si>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</si>
  <si>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</si>
  <si>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</si>
  <si>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</si>
  <si>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</si>
  <si>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</si>
  <si>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</si>
  <si>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</si>
  <si>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</si>
  <si>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</si>
  <si>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</si>
  <si>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</si>
  <si>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</si>
  <si>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</si>
  <si>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</si>
  <si>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</si>
  <si>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</si>
  <si>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</si>
  <si>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</si>
  <si>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</si>
  <si>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</si>
  <si>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</si>
  <si>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</si>
  <si>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</si>
  <si>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</si>
  <si>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</si>
  <si>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</si>
  <si>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</si>
  <si>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</si>
  <si>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</si>
  <si>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</si>
  <si>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</si>
  <si>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</si>
  <si>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</si>
  <si>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</si>
  <si>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</si>
  <si>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</si>
  <si>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</si>
  <si>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</si>
  <si>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</si>
  <si>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</si>
  <si>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</si>
  <si>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</si>
  <si>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</si>
  <si>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</si>
  <si>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</si>
  <si>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</si>
  <si>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</si>
  <si>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</si>
  <si>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</si>
  <si>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</si>
  <si>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</si>
  <si>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</si>
  <si>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</si>
  <si>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</si>
  <si>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</si>
  <si>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</si>
  <si>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</si>
  <si>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</si>
  <si>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</si>
  <si>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</si>
  <si>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</si>
  <si>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</si>
  <si>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</si>
  <si>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</si>
  <si>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</si>
  <si>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</si>
  <si>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</si>
  <si>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</si>
  <si>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</si>
  <si>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</si>
  <si>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</si>
  <si>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</si>
  <si>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</si>
  <si>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</si>
  <si>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</si>
  <si>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</si>
  <si>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</si>
  <si>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</si>
  <si>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</si>
  <si>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</si>
  <si>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</si>
  <si>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</si>
  <si>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</si>
  <si>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</si>
  <si>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</si>
  <si>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</si>
  <si>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</si>
  <si>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</si>
  <si>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</si>
  <si>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</si>
  <si>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</si>
  <si>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</si>
  <si>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</si>
  <si>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</si>
  <si>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</si>
  <si>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</si>
  <si>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</si>
  <si>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</si>
  <si>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</si>
  <si>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</si>
  <si>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</si>
  <si>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</si>
  <si>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</si>
  <si>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</si>
  <si>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</si>
  <si>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</si>
  <si>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</si>
  <si>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</si>
  <si>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</si>
  <si>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</si>
  <si>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</si>
  <si>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</si>
  <si>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</si>
  <si>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</si>
  <si>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</si>
  <si>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</si>
  <si>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</si>
  <si>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</si>
  <si>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</si>
  <si>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</si>
  <si>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</si>
  <si>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</si>
  <si>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</si>
  <si>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</si>
  <si>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</si>
  <si>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</si>
  <si>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</si>
  <si>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</si>
  <si>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</si>
  <si>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</si>
  <si>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</si>
  <si>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</si>
  <si>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</si>
  <si>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</si>
  <si>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</si>
  <si>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</si>
  <si>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</si>
  <si>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</si>
  <si>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</si>
  <si>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</si>
  <si>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</si>
  <si>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</si>
  <si>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</si>
  <si>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</si>
  <si>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</si>
  <si>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</si>
  <si>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</si>
  <si>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</si>
  <si>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</si>
  <si>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</si>
  <si>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</si>
  <si>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</si>
  <si>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</si>
  <si>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</si>
  <si>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</si>
  <si>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</si>
  <si>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</si>
  <si>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</si>
  <si>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</si>
  <si>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</si>
  <si>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</si>
  <si>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</si>
  <si>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</si>
  <si>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</si>
  <si>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</si>
  <si>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</si>
  <si>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</si>
  <si>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</si>
  <si>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</si>
  <si>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</si>
  <si>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</si>
  <si>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</si>
  <si>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</si>
  <si>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</si>
  <si>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</si>
  <si>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</si>
  <si>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</si>
  <si>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</si>
  <si>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</si>
  <si>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</si>
  <si>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</si>
  <si>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</si>
  <si>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</si>
  <si>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</si>
  <si>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</si>
  <si>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</si>
  <si>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</si>
  <si>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</si>
  <si>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</si>
  <si>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</si>
  <si>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</si>
  <si>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</si>
  <si>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</si>
  <si>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</si>
  <si>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</si>
  <si>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</si>
  <si>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</si>
  <si>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</si>
  <si>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</si>
  <si>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</si>
  <si>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</si>
  <si>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</si>
  <si>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</si>
  <si>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</si>
  <si>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</si>
  <si>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</si>
  <si>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</si>
  <si>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</si>
  <si>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</si>
  <si>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</si>
  <si>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</si>
  <si>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</si>
  <si>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</si>
  <si>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</si>
  <si>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</si>
  <si>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</si>
  <si>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</si>
  <si>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</si>
  <si>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</si>
  <si>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</si>
  <si>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</si>
  <si>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</si>
  <si>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</si>
  <si>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</si>
  <si>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</si>
  <si>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</si>
  <si>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</si>
  <si>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</si>
  <si>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</si>
  <si>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</si>
  <si>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</si>
  <si>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</si>
  <si>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</si>
  <si>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</si>
  <si>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</si>
  <si>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</si>
  <si>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</si>
  <si>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</si>
  <si>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</si>
  <si>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</si>
  <si>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</si>
  <si>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</si>
  <si>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</si>
  <si>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</si>
  <si>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</si>
  <si>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</si>
  <si>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</si>
  <si>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</si>
  <si>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</si>
  <si>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</si>
  <si>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</si>
  <si>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</si>
  <si>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</si>
  <si>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</si>
  <si>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</si>
  <si>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</si>
  <si>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</si>
  <si>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</si>
  <si>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</si>
  <si>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</si>
  <si>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</si>
  <si>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</si>
  <si>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</si>
  <si>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</si>
  <si>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</si>
  <si>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</si>
  <si>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</si>
  <si>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</si>
  <si>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</si>
  <si>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</si>
  <si>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</si>
  <si>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</si>
  <si>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</si>
  <si>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</si>
  <si>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</si>
  <si>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</si>
  <si>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</si>
  <si>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</si>
  <si>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</si>
  <si>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</si>
  <si>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</si>
  <si>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</si>
  <si>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</si>
  <si>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</si>
  <si>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</si>
  <si>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</si>
  <si>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</si>
  <si>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</si>
  <si>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</si>
  <si>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</si>
  <si>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</si>
  <si>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</si>
  <si>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</si>
  <si>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</si>
  <si>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</si>
  <si>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</si>
  <si>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</si>
  <si>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</si>
  <si>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</si>
  <si>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</si>
  <si>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</si>
  <si>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</si>
  <si>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</si>
  <si>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</si>
  <si>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</si>
  <si>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</si>
  <si>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</si>
  <si>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</si>
  <si>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</si>
  <si>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</si>
  <si>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</si>
  <si>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</si>
  <si>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</si>
  <si>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</si>
  <si>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</si>
  <si>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</si>
  <si>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</si>
  <si>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</si>
  <si>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</si>
  <si>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</si>
  <si>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</si>
  <si>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</si>
  <si>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</si>
  <si>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</si>
  <si>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</si>
  <si>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</si>
  <si>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</si>
  <si>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</si>
  <si>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</si>
  <si>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</si>
  <si>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</si>
  <si>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</si>
  <si>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</si>
  <si>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</si>
  <si>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</si>
  <si>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</si>
  <si>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</si>
  <si>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</si>
  <si>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</si>
  <si>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</si>
  <si>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</si>
  <si>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</si>
  <si>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</si>
  <si>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</si>
  <si>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</si>
  <si>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</si>
  <si>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</si>
  <si>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</si>
  <si>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</si>
  <si>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</si>
  <si>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</si>
  <si>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</si>
  <si>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</si>
  <si>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</si>
  <si>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</si>
  <si>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</si>
  <si>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</si>
  <si>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</si>
  <si>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</si>
  <si>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</si>
  <si>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</si>
  <si>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</si>
  <si>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</si>
  <si>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</si>
  <si>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</si>
  <si>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</si>
  <si>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</si>
  <si>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</si>
  <si>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</si>
  <si>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</si>
  <si>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</si>
  <si>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</si>
  <si>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</si>
  <si>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</si>
  <si>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</si>
  <si>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</si>
  <si>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</si>
  <si>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</si>
  <si>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</si>
  <si>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</si>
  <si>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</si>
  <si>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</si>
  <si>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</si>
  <si>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</si>
  <si>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</si>
  <si>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</si>
  <si>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</si>
  <si>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</si>
  <si>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</si>
  <si>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</si>
  <si>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</si>
  <si>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</si>
  <si>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</si>
  <si>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</si>
  <si>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</si>
  <si>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</si>
  <si>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</si>
  <si>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</si>
  <si>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</si>
  <si>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</si>
  <si>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</si>
  <si>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</si>
  <si>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</si>
  <si>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</si>
  <si>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</si>
  <si>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</si>
  <si>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</si>
  <si>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</si>
  <si>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</si>
  <si>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</si>
  <si>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</si>
  <si>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</si>
  <si>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</si>
  <si>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</si>
  <si>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</si>
  <si>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</si>
  <si>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</si>
  <si>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</si>
  <si>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</si>
  <si>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</si>
  <si>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</si>
  <si>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</si>
  <si>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</si>
  <si>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</si>
  <si>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</si>
  <si>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</si>
  <si>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</si>
  <si>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</si>
  <si>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</si>
  <si>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</si>
  <si>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</si>
  <si>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</si>
  <si>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</si>
  <si>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</si>
  <si>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</si>
  <si>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</si>
  <si>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</si>
  <si>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</si>
  <si>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</si>
  <si>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</si>
  <si>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</si>
  <si>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</si>
  <si>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</si>
  <si>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</si>
  <si>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</si>
  <si>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</si>
  <si>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</si>
  <si>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</si>
  <si>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</si>
  <si>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</si>
  <si>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</si>
  <si>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</si>
  <si>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</si>
  <si>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</si>
  <si>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</si>
  <si>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</si>
  <si>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</si>
  <si>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</si>
  <si>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</si>
  <si>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</si>
  <si>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</si>
  <si>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</si>
  <si>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</si>
  <si>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</si>
  <si>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</si>
  <si>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</si>
  <si>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</si>
  <si>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</si>
  <si>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</si>
  <si>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</si>
  <si>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</si>
  <si>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</si>
  <si>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</si>
  <si>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</si>
  <si>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</si>
  <si>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</si>
  <si>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</si>
  <si>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</si>
  <si>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</si>
  <si>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</si>
  <si>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</si>
  <si>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</si>
  <si>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</si>
  <si>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</si>
  <si>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</si>
  <si>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</si>
  <si>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</si>
  <si>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</si>
  <si>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</si>
  <si>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</si>
  <si>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</si>
  <si>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</si>
  <si>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</si>
  <si>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</si>
  <si>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</si>
  <si>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</si>
  <si>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</si>
  <si>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</si>
  <si>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</si>
  <si>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</si>
  <si>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</si>
  <si>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</si>
  <si>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</si>
  <si>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</si>
  <si>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</si>
  <si>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</si>
  <si>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</si>
  <si>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</si>
  <si>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</si>
  <si>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</si>
  <si>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</si>
  <si>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</si>
  <si>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</si>
  <si>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</si>
  <si>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</si>
  <si>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</si>
  <si>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</si>
  <si>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</si>
  <si>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</si>
  <si>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</si>
  <si>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</si>
  <si>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</si>
  <si>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</si>
  <si>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</si>
  <si>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</si>
  <si>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</si>
  <si>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</si>
  <si>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</si>
  <si>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</si>
  <si>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</si>
  <si>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</si>
  <si>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</si>
  <si>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</si>
  <si>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</si>
  <si>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</si>
  <si>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</si>
  <si>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</si>
  <si>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</si>
  <si>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</si>
  <si>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</si>
  <si>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</si>
  <si>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</si>
  <si>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</si>
  <si>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</si>
  <si>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</si>
  <si>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</si>
  <si>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</si>
  <si>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</si>
  <si>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</si>
  <si>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</si>
  <si>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</si>
  <si>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</si>
  <si>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</si>
  <si>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</si>
  <si>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</si>
  <si>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</si>
  <si>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</si>
  <si>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</si>
  <si>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</si>
  <si>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</si>
  <si>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</si>
  <si>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</si>
  <si>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</si>
  <si>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</si>
  <si>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</si>
  <si>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</si>
  <si>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</si>
  <si>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</si>
  <si>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</si>
  <si>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</si>
  <si>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</si>
  <si>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</si>
  <si>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</si>
  <si>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</si>
  <si>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</si>
  <si>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</si>
  <si>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</si>
  <si>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</si>
  <si>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</si>
  <si>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</si>
  <si>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</si>
  <si>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</si>
  <si>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</si>
  <si>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</si>
  <si>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</si>
  <si>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</si>
  <si>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</si>
  <si>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</si>
  <si>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</si>
  <si>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</si>
  <si>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</si>
  <si>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</si>
  <si>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</si>
  <si>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</si>
  <si>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</si>
  <si>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</si>
  <si>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</si>
  <si>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</si>
  <si>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</si>
  <si>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</si>
  <si>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</si>
  <si>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</si>
  <si>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</si>
  <si>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</si>
  <si>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</si>
  <si>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</si>
  <si>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</si>
  <si>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</si>
  <si>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</si>
  <si>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</si>
  <si>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</si>
  <si>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</si>
  <si>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</si>
  <si>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</si>
  <si>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</si>
  <si>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</si>
  <si>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</si>
  <si>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</si>
  <si>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</si>
  <si>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</si>
  <si>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</si>
  <si>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</si>
  <si>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</si>
  <si>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</si>
  <si>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</si>
  <si>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</si>
  <si>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</si>
  <si>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</si>
  <si>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</si>
  <si>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</si>
  <si>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</si>
  <si>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</si>
  <si>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</si>
  <si>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</si>
  <si>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</si>
  <si>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</si>
  <si>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</si>
  <si>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</si>
  <si>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</si>
  <si>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</si>
  <si>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</si>
  <si>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</si>
  <si>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</si>
  <si>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</si>
  <si>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</si>
  <si>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</si>
  <si>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</si>
  <si>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</si>
  <si>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</si>
  <si>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</si>
  <si>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</si>
  <si>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</si>
  <si>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</si>
  <si>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</si>
  <si>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</si>
  <si>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</si>
  <si>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</si>
  <si>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</si>
  <si>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</si>
  <si>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</si>
  <si>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</si>
  <si>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</si>
  <si>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</si>
  <si>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</si>
  <si>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</si>
  <si>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</si>
  <si>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</si>
  <si>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</si>
  <si>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</si>
  <si>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</si>
  <si>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</si>
  <si>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</si>
  <si>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</si>
  <si>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</si>
  <si>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</si>
  <si>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</si>
  <si>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</si>
  <si>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</si>
  <si>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</si>
  <si>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</si>
  <si>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</si>
  <si>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</si>
  <si>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</si>
  <si>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</si>
  <si>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</si>
  <si>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</si>
  <si>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</si>
  <si>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</si>
  <si>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</si>
  <si>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</si>
  <si>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</si>
  <si>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</si>
  <si>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</si>
  <si>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</si>
  <si>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</si>
  <si>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</si>
  <si>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</si>
  <si>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</si>
  <si>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</si>
  <si>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</si>
  <si>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</si>
  <si>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</si>
  <si>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</si>
  <si>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</si>
  <si>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</si>
  <si>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</si>
  <si>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</si>
  <si>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</si>
  <si>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</si>
  <si>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</si>
  <si>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</si>
  <si>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</si>
  <si>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</si>
  <si>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</si>
  <si>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</si>
  <si>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</si>
  <si>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</si>
  <si>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</si>
  <si>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</si>
  <si>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</si>
  <si>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</si>
  <si>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</si>
  <si>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</si>
  <si>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</si>
  <si>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</si>
  <si>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</si>
  <si>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</si>
  <si>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</si>
  <si>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</si>
  <si>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</si>
  <si>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</si>
  <si>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</si>
  <si>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</si>
  <si>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</si>
  <si>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</si>
  <si>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</si>
  <si>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</si>
  <si>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</si>
  <si>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</si>
  <si>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</si>
  <si>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</si>
  <si>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</si>
  <si>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</si>
  <si>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</si>
  <si>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</si>
  <si>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</si>
  <si>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</si>
  <si>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</si>
  <si>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</si>
  <si>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</si>
  <si>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</si>
  <si>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</si>
  <si>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</si>
  <si>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</si>
  <si>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</si>
  <si>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</si>
  <si>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</si>
  <si>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</si>
  <si>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</si>
  <si>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</si>
  <si>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</si>
  <si>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</si>
  <si>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</si>
  <si>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</si>
  <si>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</si>
  <si>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</si>
  <si>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</si>
  <si>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</si>
  <si>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</si>
  <si>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</si>
  <si>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</si>
  <si>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</si>
  <si>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</si>
  <si>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</si>
  <si>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</si>
  <si>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</si>
  <si>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</si>
  <si>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</si>
  <si>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</si>
  <si>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</si>
  <si>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</si>
  <si>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</si>
  <si>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</si>
  <si>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</si>
  <si>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</si>
  <si>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</si>
  <si>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</si>
  <si>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</si>
  <si>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</si>
  <si>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</si>
  <si>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</si>
  <si>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</si>
  <si>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</si>
  <si>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</si>
  <si>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</si>
  <si>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</si>
  <si>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</si>
  <si>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</si>
  <si>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</si>
  <si>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</si>
  <si>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</si>
  <si>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</si>
  <si>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</si>
  <si>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</si>
  <si>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</si>
  <si>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</si>
  <si>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</si>
  <si>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</si>
  <si>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</si>
  <si>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</si>
  <si>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</si>
  <si>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</si>
  <si>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</si>
  <si>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</si>
  <si>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</si>
  <si>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</si>
  <si>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</si>
  <si>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</si>
  <si>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</si>
  <si>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</si>
  <si>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</si>
  <si>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</si>
  <si>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</si>
  <si>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</si>
  <si>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</si>
  <si>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</si>
  <si>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</si>
  <si>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</si>
  <si>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</si>
  <si>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</si>
  <si>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</si>
  <si>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</si>
  <si>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</si>
  <si>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</si>
  <si>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</si>
  <si>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</si>
  <si>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</si>
  <si>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</si>
  <si>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</si>
  <si>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</si>
  <si>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</si>
  <si>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</si>
  <si>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</si>
  <si>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</si>
  <si>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</si>
  <si>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</si>
  <si>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</si>
  <si>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</si>
  <si>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</si>
  <si>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</si>
  <si>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</si>
  <si>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</si>
  <si>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</si>
  <si>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</si>
  <si>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</si>
  <si>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</si>
  <si>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</si>
  <si>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</si>
  <si>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</si>
  <si>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</si>
  <si>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</si>
  <si>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</si>
  <si>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</si>
  <si>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</si>
  <si>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</si>
  <si>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</si>
  <si>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</si>
  <si>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</si>
  <si>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</si>
  <si>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</si>
  <si>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</si>
  <si>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</si>
  <si>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</si>
  <si>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</si>
  <si>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</si>
  <si>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</si>
  <si>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</si>
  <si>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</si>
  <si>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</si>
  <si>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</si>
  <si>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</si>
  <si>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</si>
  <si>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</si>
  <si>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</si>
  <si>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</si>
  <si>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</si>
  <si>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</si>
  <si>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</si>
  <si>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</si>
  <si>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</si>
  <si>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</si>
  <si>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</si>
  <si>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</si>
  <si>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</si>
  <si>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</si>
  <si>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</si>
  <si>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</si>
  <si>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</si>
  <si>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</si>
  <si>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</si>
  <si>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</si>
  <si>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</si>
  <si>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</si>
  <si>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</si>
  <si>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</si>
  <si>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</si>
  <si>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</si>
  <si>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</si>
  <si>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</si>
  <si>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</si>
  <si>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</si>
  <si>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</si>
  <si>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</si>
  <si>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</si>
  <si>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</si>
  <si>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</si>
  <si>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</si>
  <si>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</si>
  <si>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</si>
  <si>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</si>
  <si>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</si>
  <si>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</si>
  <si>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</si>
  <si>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</si>
  <si>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</si>
  <si>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</si>
  <si>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</si>
  <si>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</si>
  <si>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</si>
  <si>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</si>
  <si>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</si>
  <si>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</si>
  <si>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</si>
  <si>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</si>
  <si>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</si>
  <si>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</si>
  <si>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</si>
  <si>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</si>
  <si>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</si>
  <si>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</si>
  <si>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</si>
  <si>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</si>
  <si>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</si>
  <si>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</si>
  <si>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</si>
  <si>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</si>
  <si>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</si>
  <si>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</si>
  <si>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</si>
  <si>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</si>
  <si>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</si>
  <si>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</si>
  <si>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</si>
  <si>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</si>
  <si>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</si>
  <si>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</si>
  <si>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</si>
  <si>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</si>
  <si>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</si>
  <si>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</si>
  <si>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</si>
  <si>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</si>
  <si>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</si>
  <si>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</si>
  <si>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</si>
  <si>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</si>
  <si>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</si>
  <si>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</si>
  <si>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</si>
  <si>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</si>
  <si>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</si>
  <si>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</si>
  <si>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</si>
  <si>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</si>
  <si>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</si>
  <si>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</si>
  <si>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</si>
  <si>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</si>
  <si>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</si>
  <si>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</si>
  <si>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</si>
  <si>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</si>
  <si>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</si>
  <si>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</si>
  <si>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</si>
  <si>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</si>
  <si>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</si>
  <si>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</si>
  <si>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</si>
  <si>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</si>
  <si>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</si>
  <si>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</si>
  <si>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</si>
  <si>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</si>
  <si>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</si>
  <si>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</si>
  <si>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</si>
  <si>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</si>
  <si>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</si>
  <si>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</si>
  <si>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</si>
  <si>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</si>
  <si>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</si>
  <si>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</si>
  <si>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</si>
  <si>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</si>
  <si>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</si>
  <si>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</si>
  <si>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</si>
  <si>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</si>
  <si>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</si>
  <si>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</si>
  <si>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</si>
  <si>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</si>
  <si>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</si>
  <si>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</si>
  <si>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</si>
  <si>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</si>
  <si>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</si>
  <si>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</si>
  <si>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</si>
  <si>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</si>
  <si>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</si>
  <si>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</si>
  <si>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</si>
  <si>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</si>
  <si>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</si>
  <si>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</si>
  <si>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</si>
  <si>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</si>
  <si>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</si>
  <si>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</si>
  <si>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</si>
  <si>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</si>
  <si>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</si>
  <si>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</si>
  <si>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</si>
  <si>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</si>
  <si>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</si>
  <si>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</si>
  <si>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</si>
  <si>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</si>
  <si>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</si>
  <si>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</si>
  <si>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</si>
  <si>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</si>
  <si>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</si>
  <si>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</si>
  <si>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</si>
  <si>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</si>
  <si>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</si>
  <si>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</si>
  <si>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</si>
  <si>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</si>
  <si>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</si>
  <si>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</si>
  <si>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</si>
  <si>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</si>
  <si>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</si>
  <si>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</si>
  <si>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</si>
  <si>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</si>
  <si>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</si>
  <si>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</si>
  <si>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</si>
  <si>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</si>
  <si>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</si>
  <si>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</si>
  <si>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</si>
  <si>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</si>
  <si>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</si>
  <si>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</si>
  <si>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</si>
  <si>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</si>
  <si>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</si>
  <si>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</si>
  <si>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</si>
  <si>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</si>
  <si>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</si>
  <si>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</si>
  <si>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</si>
  <si>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</si>
  <si>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</si>
  <si>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</si>
  <si>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</si>
  <si>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</si>
  <si>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</si>
  <si>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</si>
  <si>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</si>
  <si>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</si>
  <si>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</si>
  <si>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</si>
  <si>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</si>
  <si>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</si>
  <si>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</si>
  <si>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</si>
  <si>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</si>
  <si>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</si>
  <si>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</si>
  <si>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</si>
  <si>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</si>
  <si>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Robusta</t>
  </si>
  <si>
    <t>Excelsa</t>
  </si>
  <si>
    <t>Arabica</t>
  </si>
  <si>
    <t>Liberica</t>
  </si>
  <si>
    <t>Roast Type Name</t>
  </si>
  <si>
    <t>Sum of Sales</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</si>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</sst>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7" formatCode="dd\-mmm\-yyyy"/>
    <numFmt numFmtId="168" formatCode="0.0\ &quot;kg&quot;"/>
    <numFmt numFmtId="170"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170" fontId="1" fillId="0" borderId="0" xfId="0" applyNumberFormat="1" applyFont="1" applyAlignment="1">
      <alignment vertical="center"/>
    </xf>
    <xf numFmtId="170"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3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70" formatCode="_-[$$-409]* #,##0.00_ ;_-[$$-409]* \-#,##0.00\ ;_-[$$-409]* &quot;-&quot;??_ ;_-@_ "/>
    </dxf>
    <dxf>
      <numFmt numFmtId="170" formatCode="_-[$$-409]* #,##0.00_ ;_-[$$-409]* \-#,##0.00\ ;_-[$$-409]* &quot;-&quot;??_ ;_-@_ "/>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[Clean_dataset.xlsx]TotalSales!PivotTable1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7-CD7C-4CC0-BA8A-AF6F3560BE70}"/>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CD7C-4CC0-BA8A-AF6F3560BE70}"/>
            </c:ext>
          </c:extLst>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CD7C-4CC0-BA8A-AF6F3560BE70}"/>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CD7C-4CC0-BA8A-AF6F3560BE70}"/>
            </c:ext>
          </c:extLst>
        </c:ser>
        <c:dLbls>
          <c:showLegendKey val="0"/>
          <c:showVal val="0"/>
          <c:showCatName val="0"/>
          <c:showSerName val="0"/>
          <c:showPercent val="0"/>
          <c:showBubbleSize val="0"/>
        </c:dLbls>
        <c:marker val="1"/>
        <c:smooth val="0"/>
        <c:axId val="128176624"/>
        <c:axId val="128193424"/>
      </c:lineChart>
      <c:catAx>
        <c:axId val="12817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3424"/>
        <c:crosses val="autoZero"/>
        <c:auto val="1"/>
        <c:lblAlgn val="ctr"/>
        <c:lblOffset val="100"/>
        <c:noMultiLvlLbl val="0"/>
      </c:catAx>
      <c:valAx>
        <c:axId val="12819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6624"/>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[Clean_dataset.xlsx]SalesbyCountry!PivotTable2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cat>
            <c:strRef>
              <c:f>SalesbyCountry!$A$4:$A$7</c:f>
              <c:strCache>
                <c:ptCount val="3"/>
                <c:pt idx="0">
                  <c:v>Ireland</c:v>
                </c:pt>
                <c:pt idx="1">
                  <c:v>United Kingdom</c:v>
                </c:pt>
                <c:pt idx="2">
                  <c:v>United States</c:v>
                </c:pt>
              </c:strCache>
            </c:strRef>
          </c:cat>
          <c:val>
            <c:numRef>
              <c:f>SalesbyCountry!$B$4:$B$7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FE8-4F1D-B81B-B5E31CECAF82}"/>
            </c:ext>
          </c:extLst>
        </c:ser>
        <c:dLbls>
          <c:showLegendKey val="0"/>
          <c:showVal val="0"/>
          <c:showCatName val="0"/>
          <c:showSerName val="0"/>
          <c:showPercent val="0"/>
          <c:showBubbleSize val="0"/>
        </c:dLbls>
        <c:gapWidth val="150"/>
        <c:axId val="343676944"/>
        <c:axId val="343682224"/>
      </c:barChart>
      <c:catAx>
        <c:axId val="34367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2224"/>
        <c:crosses val="autoZero"/>
        <c:auto val="1"/>
        <c:lblAlgn val="ctr"/>
        <c:lblOffset val="100"/>
        <c:noMultiLvlLbl val="0"/>
      </c:catAx>
      <c:valAx>
        <c:axId val="34368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[Clean_dataset.xlsx]Top5Customers!PivotTable3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Top5Customers!$A$4:$A$9</c:f>
              <c:strCache>
                <c:ptCount val="5"/>
                <c:pt idx="0">
                  <c:v>Allis Wilmore</c:v>
                </c:pt>
                <c:pt idx="1">
                  <c:v>Brenn Dundredge</c:v>
                </c:pt>
                <c:pt idx="2">
                  <c:v>Don Flintiff</c:v>
                </c:pt>
                <c:pt idx="3">
                  <c:v>Nealson Cuttler</c:v>
                </c:pt>
                <c:pt idx="4">
                  <c:v>Terri Farra</c:v>
                </c:pt>
              </c:strCache>
            </c:strRef>
          </c:cat>
          <c:val>
            <c:numRef>
              <c:f>Top5Customers!$B$4:$B$9</c:f>
              <c:numCache>
                <c:formatCode>General</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A8B5-418C-80CF-75FB5F71CB93}"/>
            </c:ext>
          </c:extLst>
        </c:ser>
        <c:dLbls>
          <c:showLegendKey val="0"/>
          <c:showVal val="0"/>
          <c:showCatName val="0"/>
          <c:showSerName val="0"/>
          <c:showPercent val="0"/>
          <c:showBubbleSize val="0"/>
        </c:dLbls>
        <c:gapWidth val="182"/>
        <c:axId val="350148304"/>
        <c:axId val="350149744"/>
      </c:barChart>
      <c:catAx>
        <c:axId val="35014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9744"/>
        <c:crosses val="autoZero"/>
        <c:auto val="1"/>
        <c:lblAlgn val="ctr"/>
        <c:lblOffset val="100"/>
        <c:noMultiLvlLbl val="0"/>
      </c:catAx>
      <c:valAx>
        <c:axId val="35014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[Clean_dataset.xlsx]TotalSales!PivotTable1</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972-477E-A8A5-9C8F4B78C96B}"/>
            </c:ext>
          </c:extLst>
        </c:ser>
        <c:ser>
          <c:idx val="1"/>
          <c:order val="1"/>
          <c:tx>
            <c:strRef>
              <c:f>TotalSales!$D$3:$D$4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972-477E-A8A5-9C8F4B78C96B}"/>
            </c:ext>
          </c:extLst>
        </c:ser>
        <c:ser>
          <c:idx val="2"/>
          <c:order val="2"/>
          <c:tx>
            <c:strRef>
              <c:f>TotalSales!$E$3:$E$4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972-477E-A8A5-9C8F4B78C96B}"/>
            </c:ext>
          </c:extLst>
        </c:ser>
        <c:ser>
          <c:idx val="3"/>
          <c:order val="3"/>
          <c:tx>
            <c:strRef>
              <c:f>TotalSales!$F$3:$F$4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972-477E-A8A5-9C8F4B78C96B}"/>
            </c:ext>
          </c:extLst>
        </c:ser>
        <c:dLbls>
          <c:showLegendKey val="0"/>
          <c:showVal val="0"/>
          <c:showCatName val="0"/>
          <c:showSerName val="0"/>
          <c:showPercent val="0"/>
          <c:showBubbleSize val="0"/>
        </c:dLbls>
        <c:marker val="1"/>
        <c:smooth val="0"/>
        <c:axId val="128176624"/>
        <c:axId val="128193424"/>
      </c:lineChart>
      <c:catAx>
        <c:axId val="1281766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3424"/>
        <c:crosses val="autoZero"/>
        <c:auto val="1"/>
        <c:lblAlgn val="ctr"/>
        <c:lblOffset val="100"/>
        <c:noMultiLvlLbl val="0"/>
      </c:catAx>
      <c:valAx>
        <c:axId val="12819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[Clean_dataset.xlsx]SalesbyCountry!PivotTable2</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SalesbyCountry!$A$4:$A$7</c:f>
              <c:strCache>
                <c:ptCount val="3"/>
                <c:pt idx="0">
                  <c:v>Ireland</c:v>
                </c:pt>
                <c:pt idx="1">
                  <c:v>United Kingdom</c:v>
                </c:pt>
                <c:pt idx="2">
                  <c:v>United States</c:v>
                </c:pt>
              </c:strCache>
            </c:strRef>
          </c:cat>
          <c:val>
            <c:numRef>
              <c:f>SalesbyCountry!$B$4:$B$7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13D-49D1-8FF7-3696B85CC103}"/>
            </c:ext>
          </c:extLst>
        </c:ser>
        <c:dLbls>
          <c:showLegendKey val="0"/>
          <c:showVal val="0"/>
          <c:showCatName val="0"/>
          <c:showSerName val="0"/>
          <c:showPercent val="0"/>
          <c:showBubbleSize val="0"/>
        </c:dLbls>
        <c:gapWidth val="115"/>
        <c:overlap val="-20"/>
        <c:axId val="343676944"/>
        <c:axId val="343682224"/>
      </c:barChart>
      <c:catAx>
        <c:axId val="343676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2224"/>
        <c:crosses val="autoZero"/>
        <c:auto val="1"/>
        <c:lblAlgn val="ctr"/>
        <c:lblOffset val="100"/>
        <c:noMultiLvlLbl val="0"/>
      </c:catAx>
      <c:valAx>
        <c:axId val="34368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[Clean_dataset.xlsx]Top5Customers!PivotTable3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Top5Customers!$A$4:$A$9</c:f>
              <c:strCache>
                <c:ptCount val="5"/>
                <c:pt idx="0">
                  <c:v>Allis Wilmore</c:v>
                </c:pt>
                <c:pt idx="1">
                  <c:v>Brenn Dundredge</c:v>
                </c:pt>
                <c:pt idx="2">
                  <c:v>Don Flintiff</c:v>
                </c:pt>
                <c:pt idx="3">
                  <c:v>Nealson Cuttler</c:v>
                </c:pt>
                <c:pt idx="4">
                  <c:v>Terri Farra</c:v>
                </c:pt>
              </c:strCache>
            </c:strRef>
          </c:cat>
          <c:val>
            <c:numRef>
              <c:f>Top5Customers!$B$4:$B$9</c:f>
              <c:numCache>
                <c:formatCode>General</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156F-47E2-B20D-422092B3D860}"/>
            </c:ext>
          </c:extLst>
        </c:ser>
        <c:dLbls>
          <c:showLegendKey val="0"/>
          <c:showVal val="0"/>
          <c:showCatName val="0"/>
          <c:showSerName val="0"/>
          <c:showPercent val="0"/>
          <c:showBubbleSize val="0"/>
        </c:dLbls>
        <c:gapWidth val="115"/>
        <c:overlap val="-20"/>
        <c:axId val="350148304"/>
        <c:axId val="350149744"/>
      </c:barChart>
      <c:catAx>
        <c:axId val="3501483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9744"/>
        <c:crosses val="autoZero"/>
        <c:auto val="1"/>
        <c:lblAlgn val="ctr"/>
        <c:lblOffset val="100"/>
        <c:noMultiLvlLbl val="0"/>
      </c:catAx>
      <c:valAx>
        <c:axId val="35014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601980</xdr:colOff>
      <xdr:row>1</xdr:row>
      <xdr:rowOff>15240</xdr:rowOff>
    </xdr:from>
    <xdr:to>
      <xdr:col>14</xdr:col>
      <xdr:colOff>297180</xdr:colOff>
      <xdr:row>16</xdr:row>
      <xdr:rowOff>15240</xdr:rowOff>
    </xdr:to>
    <xdr:graphicFrame macro="">
      <xdr:nvGraphicFramePr>
        <xdr:cNvPr id="2" name="Chart 1">
          <a:extLst>
            <a:ext uri="{FF2B5EF4-FFF2-40B4-BE49-F238E27FC236}">
              <a16:creationId xmlns:a16="http://schemas.microsoft.com/office/drawing/2014/main" id="{3E33B56E-D193-C265-F93C-1622040B0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16</xdr:row>
      <xdr:rowOff>137161</xdr:rowOff>
    </xdr:from>
    <xdr:to>
      <xdr:col>15</xdr:col>
      <xdr:colOff>182880</xdr:colOff>
      <xdr:row>21</xdr:row>
      <xdr:rowOff>152401</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B9BC2B99-306B-FBF0-E8FF-177FC249316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366760" y="3063241"/>
              <a:ext cx="2407920" cy="929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17</xdr:row>
      <xdr:rowOff>99061</xdr:rowOff>
    </xdr:from>
    <xdr:to>
      <xdr:col>10</xdr:col>
      <xdr:colOff>586740</xdr:colOff>
      <xdr:row>21</xdr:row>
      <xdr:rowOff>38101</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B3199B50-47A5-5722-2CEB-946B025CB3C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044440" y="3208021"/>
              <a:ext cx="3086100" cy="670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21</xdr:row>
      <xdr:rowOff>175260</xdr:rowOff>
    </xdr:from>
    <xdr:to>
      <xdr:col>15</xdr:col>
      <xdr:colOff>243840</xdr:colOff>
      <xdr:row>29</xdr:row>
      <xdr:rowOff>83820</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25F8BC38-446A-80F2-836F-F2E0EAA0A42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219700" y="4015740"/>
              <a:ext cx="561594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533400</xdr:colOff>
      <xdr:row>12</xdr:row>
      <xdr:rowOff>53341</xdr:rowOff>
    </xdr:from>
    <xdr:to>
      <xdr:col>18</xdr:col>
      <xdr:colOff>228600</xdr:colOff>
      <xdr:row>17</xdr:row>
      <xdr:rowOff>167641</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64A134B1-6852-F8AE-1C4F-80740E6D21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125200" y="2247901"/>
              <a:ext cx="15240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2</xdr:row>
      <xdr:rowOff>22860</xdr:rowOff>
    </xdr:from>
    <xdr:to>
      <xdr:col>10</xdr:col>
      <xdr:colOff>541020</xdr:colOff>
      <xdr:row>17</xdr:row>
      <xdr:rowOff>22860</xdr:rowOff>
    </xdr:to>
    <xdr:graphicFrame macro="">
      <xdr:nvGraphicFramePr>
        <xdr:cNvPr id="2" name="Chart 1">
          <a:extLst>
            <a:ext uri="{FF2B5EF4-FFF2-40B4-BE49-F238E27FC236}">
              <a16:creationId xmlns:a16="http://schemas.microsoft.com/office/drawing/2014/main" id="{D6C0BD51-EFCA-7BF1-6468-AA5F400CC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114300</xdr:rowOff>
    </xdr:from>
    <xdr:to>
      <xdr:col>10</xdr:col>
      <xdr:colOff>312420</xdr:colOff>
      <xdr:row>16</xdr:row>
      <xdr:rowOff>114300</xdr:rowOff>
    </xdr:to>
    <xdr:graphicFrame macro="">
      <xdr:nvGraphicFramePr>
        <xdr:cNvPr id="2" name="Chart 1">
          <a:extLst>
            <a:ext uri="{FF2B5EF4-FFF2-40B4-BE49-F238E27FC236}">
              <a16:creationId xmlns:a16="http://schemas.microsoft.com/office/drawing/2014/main" id="{BE6A8407-5886-6B4A-76F0-793827E9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17929</xdr:colOff>
      <xdr:row>0</xdr:row>
      <xdr:rowOff>170330</xdr:rowOff>
    </xdr:from>
    <xdr:to>
      <xdr:col>25</xdr:col>
      <xdr:colOff>591671</xdr:colOff>
      <xdr:row>5</xdr:row>
      <xdr:rowOff>0</xdr:rowOff>
    </xdr:to>
    <xdr:sp macro="" textlink="">
      <xdr:nvSpPr>
        <xdr:cNvPr id="2" name="Rectangle 1">
          <a:extLst>
            <a:ext uri="{FF2B5EF4-FFF2-40B4-BE49-F238E27FC236}">
              <a16:creationId xmlns:a16="http://schemas.microsoft.com/office/drawing/2014/main" id="{6E076963-F0C3-0F77-8FC7-01CBD0975D7D}"/>
            </a:ext>
          </a:extLst>
        </xdr:cNvPr>
        <xdr:cNvSpPr/>
      </xdr:nvSpPr>
      <xdr:spPr>
        <a:xfrm>
          <a:off x="627529" y="170330"/>
          <a:ext cx="15204142" cy="7261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a:t>Coffee Sales</a:t>
          </a:r>
          <a:r>
            <a:rPr lang="en-GB" sz="3600" baseline="0"/>
            <a:t> Dashboard</a:t>
          </a:r>
          <a:endParaRPr lang="en-GB" sz="3600"/>
        </a:p>
      </xdr:txBody>
    </xdr:sp>
    <xdr:clientData/>
  </xdr:twoCellAnchor>
  <xdr:twoCellAnchor editAs="oneCell">
    <xdr:from>
      <xdr:col>1</xdr:col>
      <xdr:colOff>0</xdr:colOff>
      <xdr:row>6</xdr:row>
      <xdr:rowOff>0</xdr:rowOff>
    </xdr:from>
    <xdr:to>
      <xdr:col>17</xdr:col>
      <xdr:colOff>0</xdr:colOff>
      <xdr:row>15</xdr:row>
      <xdr:rowOff>170329</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BC1C6B14-D5EC-4D6B-BEF4-358E332950FB}"/>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09600" y="1110343"/>
              <a:ext cx="9753600" cy="183584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582257</xdr:colOff>
      <xdr:row>16</xdr:row>
      <xdr:rowOff>65315</xdr:rowOff>
    </xdr:from>
    <xdr:to>
      <xdr:col>17</xdr:col>
      <xdr:colOff>8965</xdr:colOff>
      <xdr:row>39</xdr:row>
      <xdr:rowOff>170328</xdr:rowOff>
    </xdr:to>
    <xdr:graphicFrame macro="">
      <xdr:nvGraphicFramePr>
        <xdr:cNvPr id="6" name="Chart 5">
          <a:extLst>
            <a:ext uri="{FF2B5EF4-FFF2-40B4-BE49-F238E27FC236}">
              <a16:creationId xmlns:a16="http://schemas.microsoft.com/office/drawing/2014/main" id="{1E6CA956-8D6E-494A-8A2F-0B75B7253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59167</xdr:colOff>
      <xdr:row>10</xdr:row>
      <xdr:rowOff>62754</xdr:rowOff>
    </xdr:from>
    <xdr:to>
      <xdr:col>22</xdr:col>
      <xdr:colOff>1</xdr:colOff>
      <xdr:row>16</xdr:row>
      <xdr:rowOff>8965</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0724F9B1-323B-4333-96CF-B7247C68324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422367" y="1913325"/>
              <a:ext cx="2988834" cy="1056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62752</xdr:colOff>
      <xdr:row>5</xdr:row>
      <xdr:rowOff>174172</xdr:rowOff>
    </xdr:from>
    <xdr:to>
      <xdr:col>25</xdr:col>
      <xdr:colOff>609599</xdr:colOff>
      <xdr:row>9</xdr:row>
      <xdr:rowOff>166298</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D583A1E8-355A-47B9-A6A3-E9A348D2C2E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425952" y="1099458"/>
              <a:ext cx="5423647" cy="7323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53788</xdr:colOff>
      <xdr:row>10</xdr:row>
      <xdr:rowOff>59615</xdr:rowOff>
    </xdr:from>
    <xdr:to>
      <xdr:col>25</xdr:col>
      <xdr:colOff>585395</xdr:colOff>
      <xdr:row>16</xdr:row>
      <xdr:rowOff>12550</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0C0A9660-C9D2-4AF3-B85B-131A95B8F2B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464988" y="1910186"/>
              <a:ext cx="2360407" cy="1063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53788</xdr:colOff>
      <xdr:row>16</xdr:row>
      <xdr:rowOff>53788</xdr:rowOff>
    </xdr:from>
    <xdr:to>
      <xdr:col>25</xdr:col>
      <xdr:colOff>591670</xdr:colOff>
      <xdr:row>27</xdr:row>
      <xdr:rowOff>125506</xdr:rowOff>
    </xdr:to>
    <xdr:graphicFrame macro="">
      <xdr:nvGraphicFramePr>
        <xdr:cNvPr id="10" name="Chart 9">
          <a:extLst>
            <a:ext uri="{FF2B5EF4-FFF2-40B4-BE49-F238E27FC236}">
              <a16:creationId xmlns:a16="http://schemas.microsoft.com/office/drawing/2014/main" id="{EF414623-A80A-443B-8497-79C702CCF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53787</xdr:colOff>
      <xdr:row>28</xdr:row>
      <xdr:rowOff>8964</xdr:rowOff>
    </xdr:from>
    <xdr:to>
      <xdr:col>25</xdr:col>
      <xdr:colOff>600634</xdr:colOff>
      <xdr:row>40</xdr:row>
      <xdr:rowOff>8963</xdr:rowOff>
    </xdr:to>
    <xdr:graphicFrame macro="">
      <xdr:nvGraphicFramePr>
        <xdr:cNvPr id="11" name="Chart 10">
          <a:extLst>
            <a:ext uri="{FF2B5EF4-FFF2-40B4-BE49-F238E27FC236}">
              <a16:creationId xmlns:a16="http://schemas.microsoft.com/office/drawing/2014/main" id="{71BA68D5-3076-45C1-83CB-29B90751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wa" refreshedDate="46096.57804375" createdVersion="8" refreshedVersion="8" minRefreshableVersion="3" recordCount="1000" xr:uid="{0252BA7C-E7F5-4709-8231-F8AD5E75D923}">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16925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AD8B1-C84D-4D57-B569-C68AA942211A}" name="PivotTable1"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6">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70"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1">
    <format dxfId="20">
      <pivotArea outline="0" collapsedLevelsAreSubtotals="1" fieldPosition="0"/>
    </format>
  </formats>
  <chartFormats count="9">
    <chartFormat chart="42" format="0" series="1">
      <pivotArea type="data" outline="0" fieldPosition="0">
        <references count="2">
          <reference field="4294967294" count="1" selected="0">
            <x v="0"/>
          </reference>
          <reference field="13" count="1" selected="0">
            <x v="0"/>
          </reference>
        </references>
      </pivotArea>
    </chartFormat>
    <chartFormat chart="42" format="1" series="1">
      <pivotArea type="data" outline="0" fieldPosition="0">
        <references count="2">
          <reference field="4294967294" count="1" selected="0">
            <x v="0"/>
          </reference>
          <reference field="13" count="1" selected="0">
            <x v="1"/>
          </reference>
        </references>
      </pivotArea>
    </chartFormat>
    <chartFormat chart="42" format="2" series="1">
      <pivotArea type="data" outline="0" fieldPosition="0">
        <references count="2">
          <reference field="4294967294" count="1" selected="0">
            <x v="0"/>
          </reference>
          <reference field="13" count="1" selected="0">
            <x v="2"/>
          </reference>
        </references>
      </pivotArea>
    </chartFormat>
    <chartFormat chart="42" format="3" series="1">
      <pivotArea type="data" outline="0" fieldPosition="0">
        <references count="2">
          <reference field="4294967294" count="1" selected="0">
            <x v="0"/>
          </reference>
          <reference field="13" count="1" selected="0">
            <x v="3"/>
          </reference>
        </references>
      </pivotArea>
    </chartFormat>
    <chartFormat chart="42"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64" format="9" series="1">
      <pivotArea type="data" outline="0" fieldPosition="0">
        <references count="2">
          <reference field="4294967294" count="1" selected="0">
            <x v="0"/>
          </reference>
          <reference field="13" count="1" selected="0">
            <x v="0"/>
          </reference>
        </references>
      </pivotArea>
    </chartFormat>
    <chartFormat chart="64" format="10" series="1">
      <pivotArea type="data" outline="0" fieldPosition="0">
        <references count="2">
          <reference field="4294967294" count="1" selected="0">
            <x v="0"/>
          </reference>
          <reference field="13" count="1" selected="0">
            <x v="1"/>
          </reference>
        </references>
      </pivotArea>
    </chartFormat>
    <chartFormat chart="64" format="11" series="1">
      <pivotArea type="data" outline="0" fieldPosition="0">
        <references count="2">
          <reference field="4294967294" count="1" selected="0">
            <x v="0"/>
          </reference>
          <reference field="13" count="1" selected="0">
            <x v="2"/>
          </reference>
        </references>
      </pivotArea>
    </chartFormat>
    <chartFormat chart="6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E5E2E9-E30C-46F5-B198-D35B56BA7733}" name="PivotTable2"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7" firstHeaderRow="1" firstDataRow="1" firstDataCol="1"/>
  <pivotFields count="18">
    <pivotField showAll="0"/>
    <pivotField numFmtId="167"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pivotField>
    <pivotField showAll="0"/>
    <pivotField showAll="0"/>
    <pivotField numFmtId="168" showAll="0">
      <items count="5">
        <item x="3"/>
        <item x="1"/>
        <item x="0"/>
        <item x="2"/>
        <item t="default"/>
      </items>
    </pivotField>
    <pivotField numFmtId="170" showAll="0"/>
    <pivotField dataField="1" numFmtId="170"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dataField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BC4E2-B080-43AB-BA93-8E35E15190A8}"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8">
    <pivotField showAll="0"/>
    <pivotField numFmtId="167"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8" showAll="0">
      <items count="5">
        <item x="3"/>
        <item x="1"/>
        <item x="0"/>
        <item x="2"/>
        <item t="default"/>
      </items>
    </pivotField>
    <pivotField numFmtId="170" showAll="0"/>
    <pivotField dataField="1" numFmtId="170"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8C46473-5C36-43E5-AEF9-54F5229B4A1A}" sourceName="Size">
  <pivotTables>
    <pivotTable tabId="18" name="PivotTable1"/>
    <pivotTable tabId="19" name="PivotTable2"/>
    <pivotTable tabId="20" name="PivotTable3"/>
  </pivotTables>
  <data>
    <tabular pivotCacheId="19169253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2682E6F-805D-4E1C-922B-8433257E8ECE}" sourceName="Roast Type Name">
  <pivotTables>
    <pivotTable tabId="18" name="PivotTable1"/>
    <pivotTable tabId="19" name="PivotTable2"/>
    <pivotTable tabId="20" name="PivotTable3"/>
  </pivotTables>
  <data>
    <tabular pivotCacheId="19169253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2F325A7-C80C-4AB2-B5E0-26C69E898687}" sourceName="Loyalty Card">
  <pivotTables>
    <pivotTable tabId="18" name="PivotTable1"/>
    <pivotTable tabId="19" name="PivotTable2"/>
    <pivotTable tabId="20" name="PivotTable3"/>
  </pivotTables>
  <data>
    <tabular pivotCacheId="19169253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14F8FE3-43FB-4C0C-B795-2D276677E89E}" cache="Slicer_Size" caption="Size" columnCount="2" rowHeight="234950"/>
  <slicer name="Roast Type Name" xr10:uid="{424A7208-9AF3-4149-BAFB-4E6CA17FD56E}" cache="Slicer_Roast_Type_Name" caption="Roast Type Name" columnCount="3" rowHeight="234950"/>
  <slicer name="Loyalty Card" xr10:uid="{28A174D6-ED91-48BD-9E33-C665C8B65128}" cache="Slicer_Loyalty_Card" caption="Loyal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9C620E4-32EE-4D47-9082-B6DDF263E944}" cache="Slicer_Size" caption="Size" columnCount="2" style="SlicerStyleDark1" rowHeight="234950"/>
  <slicer name="Roast Type Name 1" xr10:uid="{E0D92E94-9F38-4693-B366-FD10B3827F25}" cache="Slicer_Roast_Type_Name" caption="Roast Type Name" columnCount="3" style="SlicerStyleDark1" rowHeight="234950"/>
  <slicer name="Loyalty Card 1" xr10:uid="{58A00347-FB8F-4AFB-B2D6-C286F306EE1D}" cache="Slicer_Loyalty_Card" caption="Loyalty Card"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BEBB1-6DA3-4373-88D7-EC0D943665DA}" name="Orders" displayName="Orders" ref="A1:P1001" totalsRowShown="0">
  <autoFilter ref="A1:P1001" xr:uid="{58BBEBB1-6DA3-4373-88D7-EC0D943665DA}"/>
  <tableColumns count="16">
    <tableColumn id="1" xr3:uid="{C7CE7A1F-623D-4A6E-BA06-9DE27BBB364B}" name="Order ID" dataDxfId="30"/>
    <tableColumn id="2" xr3:uid="{05492082-19D1-4FB6-898B-189BF920758E}" name="Order Date" dataDxfId="29"/>
    <tableColumn id="3" xr3:uid="{531095B1-7897-4CA9-BF34-9E75F02316AF}" name="Customer ID" dataDxfId="28"/>
    <tableColumn id="4" xr3:uid="{3F4EF015-4D4E-4870-A46D-E73D1863FD9B}" name="Product ID"/>
    <tableColumn id="5" xr3:uid="{134F9B74-D5D3-4351-A2C5-AA24D612A8CC}" name="Quantity" dataDxfId="27"/>
    <tableColumn id="6" xr3:uid="{4614E8C6-C450-4897-B004-2390E041F1EA}" name="Customer Name" dataDxfId="26">
      <calculatedColumnFormula>_xlfn.XLOOKUP(C2,customers!$A$1:$A$1001,customers!$B$1:$B$1001,,0)</calculatedColumnFormula>
    </tableColumn>
    <tableColumn id="7" xr3:uid="{BBBE8987-55AC-4A1F-B294-6051E5BB1993}" name="Email" dataDxfId="25">
      <calculatedColumnFormula>IF(_xlfn.XLOOKUP(C2,customers!$A:$A,customers!$C:$C,,0)=0,"",_xlfn.XLOOKUP(C2,customers!$A:$A,customers!$C:$C,,0))</calculatedColumnFormula>
    </tableColumn>
    <tableColumn id="8" xr3:uid="{B8600A25-229C-4E95-82AE-69743453E2AB}" name="Country" dataDxfId="24">
      <calculatedColumnFormula>_xlfn.XLOOKUP(C2,customers!$A$1:$A$1001,customers!$G$1:$G$1001,,0)</calculatedColumnFormula>
    </tableColumn>
    <tableColumn id="9" xr3:uid="{1FFCE962-7E69-470B-8AAE-A56ED274DE7C}" name="Coffee Type">
      <calculatedColumnFormula>INDEX(products!$A$1:$G$49,MATCH(orders!$D2,products!$A$1:$A$49,0),MATCH(orders!I$1,products!$A$1:$G$1,0))</calculatedColumnFormula>
    </tableColumn>
    <tableColumn id="10" xr3:uid="{8EE4BA87-99F2-455A-87E9-86B642680A0D}" name="Roast Type">
      <calculatedColumnFormula>INDEX(products!$A$1:$G$49,MATCH(orders!$D2,products!$A$1:$A$49,0),MATCH(orders!J$1,products!$A$1:$G$1,0))</calculatedColumnFormula>
    </tableColumn>
    <tableColumn id="11" xr3:uid="{A509FA1A-A56E-4856-87BF-43EACA152AE5}" name="Size" dataDxfId="23">
      <calculatedColumnFormula>INDEX(products!$A$1:$G$49,MATCH(orders!$D2,products!$A$1:$A$49,0),MATCH(orders!K$1,products!$A$1:$G$1,0))</calculatedColumnFormula>
    </tableColumn>
    <tableColumn id="12" xr3:uid="{0C0A6B55-8D09-4674-9248-EB5782B4EAB1}" name="Unit Price" dataDxfId="22">
      <calculatedColumnFormula>INDEX(products!$A$1:$G$49,MATCH(orders!$D2,products!$A$1:$A$49,0),MATCH(orders!L$1,products!$A$1:$G$1,0))</calculatedColumnFormula>
    </tableColumn>
    <tableColumn id="13" xr3:uid="{CE880ACF-F578-4AFE-BC7E-98757683B4B4}" name="Sales" dataDxfId="21">
      <calculatedColumnFormula>L2*E2</calculatedColumnFormula>
    </tableColumn>
    <tableColumn id="14" xr3:uid="{1681F658-1CF9-48DA-A64F-B015D03CD530}" name="Coffee Type Name"/>
    <tableColumn id="15" xr3:uid="{F665A7B0-40D4-4E67-9C7E-721956A1A3F5}" name="Roast Type Name">
      <calculatedColumnFormula array="1">_xlfn.IFS(J2="M","Medium", J2="L","Light", J2="D","Dark")</calculatedColumnFormula>
    </tableColumn>
    <tableColumn id="16" xr3:uid="{57EE98C3-8675-453C-8BE2-6BDC6DE0AC7D}" name="Loyalty Card" dataDxfId="19">
      <calculatedColumnFormula>_xlfn.XLOOKUP(orders!$C$2:$C$1001,customers!$A$2:$A$1001,customers!$I$2:$I$1001,,0)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9573C4-DA7C-4629-A02D-77D373FA414D}" sourceName="Order Date">
  <pivotTables>
    <pivotTable tabId="18" name="PivotTable1"/>
    <pivotTable tabId="19" name="PivotTable2"/>
    <pivotTable tabId="20" name="PivotTable3"/>
  </pivotTables>
  <state minimalRefreshVersion="6" lastRefreshVersion="6" pivotCacheId="19169253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48CF122-3257-46C2-95CC-ECC79335A4A2}" cache="NativeTimeline_Order_Date" caption="Order Date" level="2" selectionLevel="2" scrollPosition="2022-04-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385943C-84D3-4397-82A8-434702C852CB}" cache="NativeTimeline_Order_Date" caption="Order Date" level="2" selectionLevel="2" scrollPosition="2019-04-27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4.4" x14ac:dyDescent="0.3"/>
  <cols>
    <col min="1" max="1" width="15.5546875" bestFit="1" customWidth="1"/>
    <col min="2" max="2" width="17.33203125" style="4"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style="6" bestFit="1" customWidth="1"/>
    <col min="12" max="12" width="11.77734375" customWidth="1"/>
    <col min="13" max="13" width="8.77734375" bestFit="1" customWidth="1"/>
    <col min="14" max="14" width="18.109375" customWidth="1"/>
    <col min="15" max="15" width="17.2187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6201</v>
      </c>
      <c r="P1" t="s">
        <v>6189</v>
      </c>
    </row>
    <row r="2" spans="1:16" x14ac:dyDescent="0.3">
      <c r="A2" s="2" t="s">
        <v>490</v>
      </c>
      <c r="B2" s="3">
        <v>43713</v>
      </c>
      <c r="C2" s="2" t="s">
        <v>491</v>
      </c>
      <c r="D2" t="s">
        <v>6138</v>
      </c>
      <c r="E2" s="2">
        <v>2</v>
      </c>
      <c r="F2" s="2" t="str">
        <f>_xlfn.XLOOKUP(C2,customers!$A$1:$A$1001,customers!$B$1:$B$1001,,0)</f>
        <v>Aloisia Allner</v>
      </c>
      <c r="G2" s="2" t="str">
        <f>IF(_xlfn.XLOOKUP(C2,customers!$A:$A,customers!$C:$C,,0)=0,"",_xlfn.XLOOKUP(C2,customers!$A:$A,customers!$C:$C,,0))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
        <v>6197</v>
      </c>
      <c r="O2" t="str" cm="1">
        <f t="array" ref="O2">_xlfn.IFS(J2="M","Medium", J2="L","Light", J2="D","Dark")</f>
        <v>Medium</v>
      </c>
      <c r="P2" t="str">
        <f>_xlfn.XLOOKUP(orders!$C$2:$C$1001,customers!$A$2:$A$1001,customers!$I$2:$I$1001,,0)</f>
        <v>Yes</v>
      </c>
    </row>
    <row r="3" spans="1:16" x14ac:dyDescent="0.3">
      <c r="A3" s="2" t="s">
        <v>490</v>
      </c>
      <c r="B3" s="3">
        <v>43713</v>
      </c>
      <c r="C3" s="2" t="s">
        <v>491</v>
      </c>
      <c r="D3" t="s">
        <v>6139</v>
      </c>
      <c r="E3" s="2">
        <v>5</v>
      </c>
      <c r="F3" s="2" t="str">
        <f>_xlfn.XLOOKUP(C3,customers!$A$1:$A$1001,customers!$B$1:$B$1001,,0)</f>
        <v>Aloisia Allner</v>
      </c>
      <c r="G3" s="2" t="str">
        <f>IF(_xlfn.XLOOKUP(C3,customers!$A:$A,customers!$C:$C,,0)=0,"",_xlfn.XLOOKUP(C3,customers!$A:$A,customers!$C:$C,,0))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
        <v>6198</v>
      </c>
      <c r="O3" t="str" cm="1">
        <f t="array" ref="O3">_xlfn.IFS(J3="M","Medium", J3="L","Light", J3="D","Dark")</f>
        <v>Medium</v>
      </c>
      <c r="P3" t="str">
        <f>_xlfn.XLOOKUP(orders!$C$2:$C$1001,customers!$A$2:$A$1001,customers!$I$2:$I$1001,,0)</f>
        <v>Yes</v>
      </c>
    </row>
    <row r="4" spans="1:16" x14ac:dyDescent="0.3">
      <c r="A4" s="2" t="s">
        <v>501</v>
      </c>
      <c r="B4" s="3">
        <v>44364</v>
      </c>
      <c r="C4" s="2" t="s">
        <v>502</v>
      </c>
      <c r="D4" t="s">
        <v>6140</v>
      </c>
      <c r="E4" s="2">
        <v>1</v>
      </c>
      <c r="F4" s="2" t="str">
        <f>_xlfn.XLOOKUP(C4,customers!$A$1:$A$1001,customers!$B$1:$B$1001,,0)</f>
        <v>Jami Redholes</v>
      </c>
      <c r="G4" s="2" t="str">
        <f>IF(_xlfn.XLOOKUP(C4,customers!$A:$A,customers!$C:$C,,0)=0,"",_xlfn.XLOOKUP(C4,customers!$A:$A,customers!$C:$C,,0))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
        <v>6199</v>
      </c>
      <c r="O4" t="str" cm="1">
        <f t="array" ref="O4">_xlfn.IFS(J4="M","Medium", J4="L","Light", J4="D","Dark")</f>
        <v>Light</v>
      </c>
      <c r="P4" t="str">
        <f>_xlfn.XLOOKUP(orders!$C$2:$C$1001,customers!$A$2:$A$1001,customers!$I$2:$I$1001,,0)</f>
        <v>Yes</v>
      </c>
    </row>
    <row r="5" spans="1:16" x14ac:dyDescent="0.3">
      <c r="A5" s="2" t="s">
        <v>512</v>
      </c>
      <c r="B5" s="3">
        <v>44392</v>
      </c>
      <c r="C5" s="2" t="s">
        <v>513</v>
      </c>
      <c r="D5" t="s">
        <v>6141</v>
      </c>
      <c r="E5" s="2">
        <v>2</v>
      </c>
      <c r="F5" s="2" t="str">
        <f>_xlfn.XLOOKUP(C5,customers!$A$1:$A$1001,customers!$B$1:$B$1001,,0)</f>
        <v>Christoffer O' Shea</v>
      </c>
      <c r="G5" s="2" t="str">
        <f>IF(_xlfn.XLOOKUP(C5,customers!$A:$A,customers!$C:$C,,0)=0,"",_xlfn.XLOOKUP(C5,customers!$A:$A,customers!$C:$C,,0))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
        <v>6198</v>
      </c>
      <c r="O5" t="str" cm="1">
        <f t="array" ref="O5">_xlfn.IFS(J5="M","Medium", J5="L","Light", J5="D","Dark")</f>
        <v>Medium</v>
      </c>
      <c r="P5" t="str">
        <f>_xlfn.XLOOKUP(orders!$C$2:$C$1001,customers!$A$2:$A$1001,customers!$I$2:$I$1001,,0)</f>
        <v>No</v>
      </c>
    </row>
    <row r="6" spans="1:16" x14ac:dyDescent="0.3">
      <c r="A6" s="2" t="s">
        <v>512</v>
      </c>
      <c r="B6" s="3">
        <v>44392</v>
      </c>
      <c r="C6" s="2" t="s">
        <v>513</v>
      </c>
      <c r="D6" t="s">
        <v>6142</v>
      </c>
      <c r="E6" s="2">
        <v>2</v>
      </c>
      <c r="F6" s="2" t="str">
        <f>_xlfn.XLOOKUP(C6,customers!$A$1:$A$1001,customers!$B$1:$B$1001,,0)</f>
        <v>Christoffer O' Shea</v>
      </c>
      <c r="G6" s="2" t="str">
        <f>IF(_xlfn.XLOOKUP(C6,customers!$A:$A,customers!$C:$C,,0)=0,"",_xlfn.XLOOKUP(C6,customers!$A:$A,customers!$C:$C,,0))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
        <v>6197</v>
      </c>
      <c r="O6" t="str" cm="1">
        <f t="array" ref="O6">_xlfn.IFS(J6="M","Medium", J6="L","Light", J6="D","Dark")</f>
        <v>Light</v>
      </c>
      <c r="P6" t="str">
        <f>_xlfn.XLOOKUP(orders!$C$2:$C$1001,customers!$A$2:$A$1001,customers!$I$2:$I$1001,,0)</f>
        <v>No</v>
      </c>
    </row>
    <row r="7" spans="1:16" x14ac:dyDescent="0.3">
      <c r="A7" s="2" t="s">
        <v>519</v>
      </c>
      <c r="B7" s="3">
        <v>44412</v>
      </c>
      <c r="C7" s="2" t="s">
        <v>520</v>
      </c>
      <c r="D7" t="s">
        <v>6143</v>
      </c>
      <c r="E7" s="2">
        <v>3</v>
      </c>
      <c r="F7" s="2" t="str">
        <f>_xlfn.XLOOKUP(C7,customers!$A$1:$A$1001,customers!$B$1:$B$1001,,0)</f>
        <v>Beryle Cottier</v>
      </c>
      <c r="G7" s="2" t="str">
        <f>IF(_xlfn.XLOOKUP(C7,customers!$A:$A,customers!$C:$C,,0)=0,"",_xlfn.XLOOKUP(C7,customers!$A:$A,customers!$C:$C,,0))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
        <v>6200</v>
      </c>
      <c r="O7" t="str" cm="1">
        <f t="array" ref="O7">_xlfn.IFS(J7="M","Medium", J7="L","Light", J7="D","Dark")</f>
        <v>Dark</v>
      </c>
      <c r="P7" t="str">
        <f>_xlfn.XLOOKUP(orders!$C$2:$C$1001,customers!$A$2:$A$1001,customers!$I$2:$I$1001,,0)</f>
        <v>No</v>
      </c>
    </row>
    <row r="8" spans="1:16" x14ac:dyDescent="0.3">
      <c r="A8" s="2" t="s">
        <v>524</v>
      </c>
      <c r="B8" s="3">
        <v>44582</v>
      </c>
      <c r="C8" s="2" t="s">
        <v>525</v>
      </c>
      <c r="D8" t="s">
        <v>6144</v>
      </c>
      <c r="E8" s="2">
        <v>3</v>
      </c>
      <c r="F8" s="2" t="str">
        <f>_xlfn.XLOOKUP(C8,customers!$A$1:$A$1001,customers!$B$1:$B$1001,,0)</f>
        <v>Shaylynn Lobe</v>
      </c>
      <c r="G8" s="2" t="str">
        <f>IF(_xlfn.XLOOKUP(C8,customers!$A:$A,customers!$C:$C,,0)=0,"",_xlfn.XLOOKUP(C8,customers!$A:$A,customers!$C:$C,,0))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
        <v>6198</v>
      </c>
      <c r="O8" t="str" cm="1">
        <f t="array" ref="O8">_xlfn.IFS(J8="M","Medium", J8="L","Light", J8="D","Dark")</f>
        <v>Dark</v>
      </c>
      <c r="P8" t="str">
        <f>_xlfn.XLOOKUP(orders!$C$2:$C$1001,customers!$A$2:$A$1001,customers!$I$2:$I$1001,,0)</f>
        <v>Yes</v>
      </c>
    </row>
    <row r="9" spans="1:16" x14ac:dyDescent="0.3">
      <c r="A9" s="2" t="s">
        <v>530</v>
      </c>
      <c r="B9" s="3">
        <v>44701</v>
      </c>
      <c r="C9" s="2" t="s">
        <v>531</v>
      </c>
      <c r="D9" t="s">
        <v>6145</v>
      </c>
      <c r="E9" s="2">
        <v>1</v>
      </c>
      <c r="F9" s="2" t="str">
        <f>_xlfn.XLOOKUP(C9,customers!$A$1:$A$1001,customers!$B$1:$B$1001,,0)</f>
        <v>Melvin Wharfe</v>
      </c>
      <c r="G9" s="2" t="str">
        <f>IF(_xlfn.XLOOKUP(C9,customers!$A:$A,customers!$C:$C,,0)=0,"",_xlfn.XLOOKUP(C9,customers!$A:$A,customers!$C:$C,,0))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
        <v>6200</v>
      </c>
      <c r="O9" t="str" cm="1">
        <f t="array" ref="O9">_xlfn.IFS(J9="M","Medium", J9="L","Light", J9="D","Dark")</f>
        <v>Light</v>
      </c>
      <c r="P9" t="str">
        <f>_xlfn.XLOOKUP(orders!$C$2:$C$1001,customers!$A$2:$A$1001,customers!$I$2:$I$1001,,0)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IF(_xlfn.XLOOKUP(C10,customers!$A:$A,customers!$C:$C,,0)=0,"",_xlfn.XLOOKUP(C10,customers!$A:$A,customers!$C:$C,,0))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
        <v>6197</v>
      </c>
      <c r="O10" t="str" cm="1">
        <f t="array" ref="O10">_xlfn.IFS(J10="M","Medium", J10="L","Light", J10="D","Dark")</f>
        <v>Medium</v>
      </c>
      <c r="P10" t="str">
        <f>_xlfn.XLOOKUP(orders!$C$2:$C$1001,customers!$A$2:$A$1001,customers!$I$2:$I$1001,,0)</f>
        <v>No</v>
      </c>
    </row>
    <row r="11" spans="1:16" x14ac:dyDescent="0.3">
      <c r="A11" s="2" t="s">
        <v>541</v>
      </c>
      <c r="B11" s="3">
        <v>43713</v>
      </c>
      <c r="C11" s="2" t="s">
        <v>542</v>
      </c>
      <c r="D11" t="s">
        <v>6146</v>
      </c>
      <c r="E11" s="2">
        <v>1</v>
      </c>
      <c r="F11" s="2" t="str">
        <f>_xlfn.XLOOKUP(C11,customers!$A$1:$A$1001,customers!$B$1:$B$1001,,0)</f>
        <v>Rodger Raven</v>
      </c>
      <c r="G11" s="2" t="str">
        <f>IF(_xlfn.XLOOKUP(C11,customers!$A:$A,customers!$C:$C,,0)=0,"",_xlfn.XLOOKUP(C11,customers!$A:$A,customers!$C:$C,,0))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
        <v>6197</v>
      </c>
      <c r="O11" t="str" cm="1">
        <f t="array" ref="O11">_xlfn.IFS(J11="M","Medium", J11="L","Light", J11="D","Dark")</f>
        <v>Medium</v>
      </c>
      <c r="P11" t="str">
        <f>_xlfn.XLOOKUP(orders!$C$2:$C$1001,customers!$A$2:$A$1001,customers!$I$2:$I$1001,,0)</f>
        <v>No</v>
      </c>
    </row>
    <row r="12" spans="1:16" x14ac:dyDescent="0.3">
      <c r="A12" s="2" t="s">
        <v>547</v>
      </c>
      <c r="B12" s="3">
        <v>44263</v>
      </c>
      <c r="C12" s="2" t="s">
        <v>548</v>
      </c>
      <c r="D12" t="s">
        <v>6147</v>
      </c>
      <c r="E12" s="2">
        <v>4</v>
      </c>
      <c r="F12" s="2" t="str">
        <f>_xlfn.XLOOKUP(C12,customers!$A$1:$A$1001,customers!$B$1:$B$1001,,0)</f>
        <v>Ferrell Ferber</v>
      </c>
      <c r="G12" s="2" t="str">
        <f>IF(_xlfn.XLOOKUP(C12,customers!$A:$A,customers!$C:$C,,0)=0,"",_xlfn.XLOOKUP(C12,customers!$A:$A,customers!$C:$C,,0))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
        <v>6199</v>
      </c>
      <c r="O12" t="str" cm="1">
        <f t="array" ref="O12">_xlfn.IFS(J12="M","Medium", J12="L","Light", J12="D","Dark")</f>
        <v>Dark</v>
      </c>
      <c r="P12" t="str">
        <f>_xlfn.XLOOKUP(orders!$C$2:$C$1001,customers!$A$2:$A$1001,customers!$I$2:$I$1001,,0)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IF(_xlfn.XLOOKUP(C13,customers!$A:$A,customers!$C:$C,,0)=0,"",_xlfn.XLOOKUP(C13,customers!$A:$A,customers!$C:$C,,0))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
        <v>6198</v>
      </c>
      <c r="O13" t="str" cm="1">
        <f t="array" ref="O13">_xlfn.IFS(J13="M","Medium", J13="L","Light", J13="D","Dark")</f>
        <v>Light</v>
      </c>
      <c r="P13" t="str">
        <f>_xlfn.XLOOKUP(orders!$C$2:$C$1001,customers!$A$2:$A$1001,customers!$I$2:$I$1001,,0)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IF(_xlfn.XLOOKUP(C14,customers!$A:$A,customers!$C:$C,,0)=0,"",_xlfn.XLOOKUP(C14,customers!$A:$A,customers!$C:$C,,0))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
        <v>6197</v>
      </c>
      <c r="O14" t="str" cm="1">
        <f t="array" ref="O14">_xlfn.IFS(J14="M","Medium", J14="L","Light", J14="D","Dark")</f>
        <v>Medium</v>
      </c>
      <c r="P14" t="str">
        <f>_xlfn.XLOOKUP(orders!$C$2:$C$1001,customers!$A$2:$A$1001,customers!$I$2:$I$1001,,0)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IF(_xlfn.XLOOKUP(C15,customers!$A:$A,customers!$C:$C,,0)=0,"",_xlfn.XLOOKUP(C15,customers!$A:$A,customers!$C:$C,,0))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
        <v>6197</v>
      </c>
      <c r="O15" t="str" cm="1">
        <f t="array" ref="O15">_xlfn.IFS(J15="M","Medium", J15="L","Light", J15="D","Dark")</f>
        <v>Dark</v>
      </c>
      <c r="P15" t="str">
        <f>_xlfn.XLOOKUP(orders!$C$2:$C$1001,customers!$A$2:$A$1001,customers!$I$2:$I$1001,,0)</f>
        <v>No</v>
      </c>
    </row>
    <row r="16" spans="1:16" x14ac:dyDescent="0.3">
      <c r="A16" s="2" t="s">
        <v>570</v>
      </c>
      <c r="B16" s="3">
        <v>44656</v>
      </c>
      <c r="C16" s="2" t="s">
        <v>571</v>
      </c>
      <c r="D16" t="s">
        <v>6150</v>
      </c>
      <c r="E16" s="2">
        <v>3</v>
      </c>
      <c r="F16" s="2" t="str">
        <f>_xlfn.XLOOKUP(C16,customers!$A$1:$A$1001,customers!$B$1:$B$1001,,0)</f>
        <v>Patrice Trobe</v>
      </c>
      <c r="G16" s="2" t="str">
        <f>IF(_xlfn.XLOOKUP(C16,customers!$A:$A,customers!$C:$C,,0)=0,"",_xlfn.XLOOKUP(C16,customers!$A:$A,customers!$C:$C,,0))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
        <v>6200</v>
      </c>
      <c r="O16" t="str" cm="1">
        <f t="array" ref="O16">_xlfn.IFS(J16="M","Medium", J16="L","Light", J16="D","Dark")</f>
        <v>Dark</v>
      </c>
      <c r="P16" t="str">
        <f>_xlfn.XLOOKUP(orders!$C$2:$C$1001,customers!$A$2:$A$1001,customers!$I$2:$I$1001,,0)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IF(_xlfn.XLOOKUP(C17,customers!$A:$A,customers!$C:$C,,0)=0,"",_xlfn.XLOOKUP(C17,customers!$A:$A,customers!$C:$C,,0))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
        <v>6197</v>
      </c>
      <c r="O17" t="str" cm="1">
        <f t="array" ref="O17">_xlfn.IFS(J17="M","Medium", J17="L","Light", J17="D","Dark")</f>
        <v>Medium</v>
      </c>
      <c r="P17" t="str">
        <f>_xlfn.XLOOKUP(orders!$C$2:$C$1001,customers!$A$2:$A$1001,customers!$I$2:$I$1001,,0)</f>
        <v>No</v>
      </c>
    </row>
    <row r="18" spans="1:16" x14ac:dyDescent="0.3">
      <c r="A18" s="2" t="s">
        <v>581</v>
      </c>
      <c r="B18" s="3">
        <v>43544</v>
      </c>
      <c r="C18" s="2" t="s">
        <v>582</v>
      </c>
      <c r="D18" t="s">
        <v>6152</v>
      </c>
      <c r="E18" s="2">
        <v>6</v>
      </c>
      <c r="F18" s="2" t="str">
        <f>_xlfn.XLOOKUP(C18,customers!$A$1:$A$1001,customers!$B$1:$B$1001,,0)</f>
        <v>Minni Alabaster</v>
      </c>
      <c r="G18" s="2" t="str">
        <f>IF(_xlfn.XLOOKUP(C18,customers!$A:$A,customers!$C:$C,,0)=0,"",_xlfn.XLOOKUP(C18,customers!$A:$A,customers!$C:$C,,0))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
        <v>6199</v>
      </c>
      <c r="O18" t="str" cm="1">
        <f t="array" ref="O18">_xlfn.IFS(J18="M","Medium", J18="L","Light", J18="D","Dark")</f>
        <v>Medium</v>
      </c>
      <c r="P18" t="str">
        <f>_xlfn.XLOOKUP(orders!$C$2:$C$1001,customers!$A$2:$A$1001,customers!$I$2:$I$1001,,0)</f>
        <v>No</v>
      </c>
    </row>
    <row r="19" spans="1:16" x14ac:dyDescent="0.3">
      <c r="A19" s="2" t="s">
        <v>587</v>
      </c>
      <c r="B19" s="3">
        <v>43757</v>
      </c>
      <c r="C19" s="2" t="s">
        <v>588</v>
      </c>
      <c r="D19" t="s">
        <v>6140</v>
      </c>
      <c r="E19" s="2">
        <v>6</v>
      </c>
      <c r="F19" s="2" t="str">
        <f>_xlfn.XLOOKUP(C19,customers!$A$1:$A$1001,customers!$B$1:$B$1001,,0)</f>
        <v>Rhianon Broxup</v>
      </c>
      <c r="G19" s="2" t="str">
        <f>IF(_xlfn.XLOOKUP(C19,customers!$A:$A,customers!$C:$C,,0)=0,"",_xlfn.XLOOKUP(C19,customers!$A:$A,customers!$C:$C,,0))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
        <v>6199</v>
      </c>
      <c r="O19" t="str" cm="1">
        <f t="array" ref="O19">_xlfn.IFS(J19="M","Medium", J19="L","Light", J19="D","Dark")</f>
        <v>Light</v>
      </c>
      <c r="P19" t="str">
        <f>_xlfn.XLOOKUP(orders!$C$2:$C$1001,customers!$A$2:$A$1001,customers!$I$2:$I$1001,,0)</f>
        <v>No</v>
      </c>
    </row>
    <row r="20" spans="1:16" x14ac:dyDescent="0.3">
      <c r="A20" s="2" t="s">
        <v>593</v>
      </c>
      <c r="B20" s="3">
        <v>43629</v>
      </c>
      <c r="C20" s="2" t="s">
        <v>594</v>
      </c>
      <c r="D20" t="s">
        <v>6149</v>
      </c>
      <c r="E20" s="2">
        <v>4</v>
      </c>
      <c r="F20" s="2" t="str">
        <f>_xlfn.XLOOKUP(C20,customers!$A$1:$A$1001,customers!$B$1:$B$1001,,0)</f>
        <v>Pall Redford</v>
      </c>
      <c r="G20" s="2" t="str">
        <f>IF(_xlfn.XLOOKUP(C20,customers!$A:$A,customers!$C:$C,,0)=0,"",_xlfn.XLOOKUP(C20,customers!$A:$A,customers!$C:$C,,0))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
        <v>6197</v>
      </c>
      <c r="O20" t="str" cm="1">
        <f t="array" ref="O20">_xlfn.IFS(J20="M","Medium", J20="L","Light", J20="D","Dark")</f>
        <v>Dark</v>
      </c>
      <c r="P20" t="str">
        <f>_xlfn.XLOOKUP(orders!$C$2:$C$1001,customers!$A$2:$A$1001,customers!$I$2:$I$1001,,0)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IF(_xlfn.XLOOKUP(C21,customers!$A:$A,customers!$C:$C,,0)=0,"",_xlfn.XLOOKUP(C21,customers!$A:$A,customers!$C:$C,,0))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
        <v>6199</v>
      </c>
      <c r="O21" t="str" cm="1">
        <f t="array" ref="O21">_xlfn.IFS(J21="M","Medium", J21="L","Light", J21="D","Dark")</f>
        <v>Medium</v>
      </c>
      <c r="P21" t="str">
        <f>_xlfn.XLOOKUP(orders!$C$2:$C$1001,customers!$A$2:$A$1001,customers!$I$2:$I$1001,,0)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IF(_xlfn.XLOOKUP(C22,customers!$A:$A,customers!$C:$C,,0)=0,"",_xlfn.XLOOKUP(C22,customers!$A:$A,customers!$C:$C,,0))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
        <v>6198</v>
      </c>
      <c r="O22" t="str" cm="1">
        <f t="array" ref="O22">_xlfn.IFS(J22="M","Medium", J22="L","Light", J22="D","Dark")</f>
        <v>Dark</v>
      </c>
      <c r="P22" t="str">
        <f>_xlfn.XLOOKUP(orders!$C$2:$C$1001,customers!$A$2:$A$1001,customers!$I$2:$I$1001,,0)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IF(_xlfn.XLOOKUP(C23,customers!$A:$A,customers!$C:$C,,0)=0,"",_xlfn.XLOOKUP(C23,customers!$A:$A,customers!$C:$C,,0))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
        <v>6199</v>
      </c>
      <c r="O23" t="str" cm="1">
        <f t="array" ref="O23">_xlfn.IFS(J23="M","Medium", J23="L","Light", J23="D","Dark")</f>
        <v>Dark</v>
      </c>
      <c r="P23" t="str">
        <f>_xlfn.XLOOKUP(orders!$C$2:$C$1001,customers!$A$2:$A$1001,customers!$I$2:$I$1001,,0)</f>
        <v>No</v>
      </c>
    </row>
    <row r="24" spans="1:16" x14ac:dyDescent="0.3">
      <c r="A24" s="2" t="s">
        <v>614</v>
      </c>
      <c r="B24" s="3">
        <v>44218</v>
      </c>
      <c r="C24" s="2" t="s">
        <v>615</v>
      </c>
      <c r="D24" t="s">
        <v>6151</v>
      </c>
      <c r="E24" s="2">
        <v>4</v>
      </c>
      <c r="F24" s="2" t="str">
        <f>_xlfn.XLOOKUP(C24,customers!$A$1:$A$1001,customers!$B$1:$B$1001,,0)</f>
        <v>Annabel Antuk</v>
      </c>
      <c r="G24" s="2" t="str">
        <f>IF(_xlfn.XLOOKUP(C24,customers!$A:$A,customers!$C:$C,,0)=0,"",_xlfn.XLOOKUP(C24,customers!$A:$A,customers!$C:$C,,0))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
        <v>6197</v>
      </c>
      <c r="O24" t="str" cm="1">
        <f t="array" ref="O24">_xlfn.IFS(J24="M","Medium", J24="L","Light", J24="D","Dark")</f>
        <v>Medium</v>
      </c>
      <c r="P24" t="str">
        <f>_xlfn.XLOOKUP(orders!$C$2:$C$1001,customers!$A$2:$A$1001,customers!$I$2:$I$1001,,0)</f>
        <v>Yes</v>
      </c>
    </row>
    <row r="25" spans="1:16" x14ac:dyDescent="0.3">
      <c r="A25" s="2" t="s">
        <v>620</v>
      </c>
      <c r="B25" s="3">
        <v>44603</v>
      </c>
      <c r="C25" s="2" t="s">
        <v>621</v>
      </c>
      <c r="D25" t="s">
        <v>6154</v>
      </c>
      <c r="E25" s="2">
        <v>4</v>
      </c>
      <c r="F25" s="2" t="str">
        <f>_xlfn.XLOOKUP(C25,customers!$A$1:$A$1001,customers!$B$1:$B$1001,,0)</f>
        <v>Iorgo Kleinert</v>
      </c>
      <c r="G25" s="2" t="str">
        <f>IF(_xlfn.XLOOKUP(C25,customers!$A:$A,customers!$C:$C,,0)=0,"",_xlfn.XLOOKUP(C25,customers!$A:$A,customers!$C:$C,,0))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
        <v>6199</v>
      </c>
      <c r="O25" t="str" cm="1">
        <f t="array" ref="O25">_xlfn.IFS(J25="M","Medium", J25="L","Light", J25="D","Dark")</f>
        <v>Dark</v>
      </c>
      <c r="P25" t="str">
        <f>_xlfn.XLOOKUP(orders!$C$2:$C$1001,customers!$A$2:$A$1001,customers!$I$2:$I$1001,,0)</f>
        <v>Yes</v>
      </c>
    </row>
    <row r="26" spans="1:16" x14ac:dyDescent="0.3">
      <c r="A26" s="2" t="s">
        <v>626</v>
      </c>
      <c r="B26" s="3">
        <v>44454</v>
      </c>
      <c r="C26" s="2" t="s">
        <v>627</v>
      </c>
      <c r="D26" t="s">
        <v>6155</v>
      </c>
      <c r="E26" s="2">
        <v>1</v>
      </c>
      <c r="F26" s="2" t="str">
        <f>_xlfn.XLOOKUP(C26,customers!$A$1:$A$1001,customers!$B$1:$B$1001,,0)</f>
        <v>Chrisy Blofeld</v>
      </c>
      <c r="G26" s="2" t="str">
        <f>IF(_xlfn.XLOOKUP(C26,customers!$A:$A,customers!$C:$C,,0)=0,"",_xlfn.XLOOKUP(C26,customers!$A:$A,customers!$C:$C,,0))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
        <v>6199</v>
      </c>
      <c r="O26" t="str" cm="1">
        <f t="array" ref="O26">_xlfn.IFS(J26="M","Medium", J26="L","Light", J26="D","Dark")</f>
        <v>Medium</v>
      </c>
      <c r="P26" t="str">
        <f>_xlfn.XLOOKUP(orders!$C$2:$C$1001,customers!$A$2:$A$1001,customers!$I$2:$I$1001,,0)</f>
        <v>No</v>
      </c>
    </row>
    <row r="27" spans="1:16" x14ac:dyDescent="0.3">
      <c r="A27" s="2" t="s">
        <v>632</v>
      </c>
      <c r="B27" s="3">
        <v>44128</v>
      </c>
      <c r="C27" s="2" t="s">
        <v>633</v>
      </c>
      <c r="D27" t="s">
        <v>6156</v>
      </c>
      <c r="E27" s="2">
        <v>3</v>
      </c>
      <c r="F27" s="2" t="str">
        <f>_xlfn.XLOOKUP(C27,customers!$A$1:$A$1001,customers!$B$1:$B$1001,,0)</f>
        <v>Culley Farris</v>
      </c>
      <c r="G27" s="2" t="str">
        <f>IF(_xlfn.XLOOKUP(C27,customers!$A:$A,customers!$C:$C,,0)=0,"",_xlfn.XLOOKUP(C27,customers!$A:$A,customers!$C:$C,,0))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
        <v>6198</v>
      </c>
      <c r="O27" t="str" cm="1">
        <f t="array" ref="O27">_xlfn.IFS(J27="M","Medium", J27="L","Light", J27="D","Dark")</f>
        <v>Medium</v>
      </c>
      <c r="P27" t="str">
        <f>_xlfn.XLOOKUP(orders!$C$2:$C$1001,customers!$A$2:$A$1001,customers!$I$2:$I$1001,,0)</f>
        <v>Yes</v>
      </c>
    </row>
    <row r="28" spans="1:16" x14ac:dyDescent="0.3">
      <c r="A28" s="2" t="s">
        <v>637</v>
      </c>
      <c r="B28" s="3">
        <v>43516</v>
      </c>
      <c r="C28" s="2" t="s">
        <v>638</v>
      </c>
      <c r="D28" t="s">
        <v>6157</v>
      </c>
      <c r="E28" s="2">
        <v>4</v>
      </c>
      <c r="F28" s="2" t="str">
        <f>_xlfn.XLOOKUP(C28,customers!$A$1:$A$1001,customers!$B$1:$B$1001,,0)</f>
        <v>Selene Shales</v>
      </c>
      <c r="G28" s="2" t="str">
        <f>IF(_xlfn.XLOOKUP(C28,customers!$A:$A,customers!$C:$C,,0)=0,"",_xlfn.XLOOKUP(C28,customers!$A:$A,customers!$C:$C,,0))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
        <v>6199</v>
      </c>
      <c r="O28" t="str" cm="1">
        <f t="array" ref="O28">_xlfn.IFS(J28="M","Medium", J28="L","Light", J28="D","Dark")</f>
        <v>Medium</v>
      </c>
      <c r="P28" t="str">
        <f>_xlfn.XLOOKUP(orders!$C$2:$C$1001,customers!$A$2:$A$1001,customers!$I$2:$I$1001,,0)</f>
        <v>Yes</v>
      </c>
    </row>
    <row r="29" spans="1:16" x14ac:dyDescent="0.3">
      <c r="A29" s="2" t="s">
        <v>643</v>
      </c>
      <c r="B29" s="3">
        <v>43746</v>
      </c>
      <c r="C29" s="2" t="s">
        <v>644</v>
      </c>
      <c r="D29" t="s">
        <v>6152</v>
      </c>
      <c r="E29" s="2">
        <v>5</v>
      </c>
      <c r="F29" s="2" t="str">
        <f>_xlfn.XLOOKUP(C29,customers!$A$1:$A$1001,customers!$B$1:$B$1001,,0)</f>
        <v>Vivie Danneil</v>
      </c>
      <c r="G29" s="2" t="str">
        <f>IF(_xlfn.XLOOKUP(C29,customers!$A:$A,customers!$C:$C,,0)=0,"",_xlfn.XLOOKUP(C29,customers!$A:$A,customers!$C:$C,,0))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
        <v>6199</v>
      </c>
      <c r="O29" t="str" cm="1">
        <f t="array" ref="O29">_xlfn.IFS(J29="M","Medium", J29="L","Light", J29="D","Dark")</f>
        <v>Medium</v>
      </c>
      <c r="P29" t="str">
        <f>_xlfn.XLOOKUP(orders!$C$2:$C$1001,customers!$A$2:$A$1001,customers!$I$2:$I$1001,,0)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IF(_xlfn.XLOOKUP(C30,customers!$A:$A,customers!$C:$C,,0)=0,"",_xlfn.XLOOKUP(C30,customers!$A:$A,customers!$C:$C,,0))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
        <v>6199</v>
      </c>
      <c r="O30" t="str" cm="1">
        <f t="array" ref="O30">_xlfn.IFS(J30="M","Medium", J30="L","Light", J30="D","Dark")</f>
        <v>Dark</v>
      </c>
      <c r="P30" t="str">
        <f>_xlfn.XLOOKUP(orders!$C$2:$C$1001,customers!$A$2:$A$1001,customers!$I$2:$I$1001,,0)</f>
        <v>No</v>
      </c>
    </row>
    <row r="31" spans="1:16" x14ac:dyDescent="0.3">
      <c r="A31" s="2" t="s">
        <v>655</v>
      </c>
      <c r="B31" s="3">
        <v>43516</v>
      </c>
      <c r="C31" s="2" t="s">
        <v>656</v>
      </c>
      <c r="D31" t="s">
        <v>6147</v>
      </c>
      <c r="E31" s="2">
        <v>4</v>
      </c>
      <c r="F31" s="2" t="str">
        <f>_xlfn.XLOOKUP(C31,customers!$A$1:$A$1001,customers!$B$1:$B$1001,,0)</f>
        <v>Mozelle Calcutt</v>
      </c>
      <c r="G31" s="2" t="str">
        <f>IF(_xlfn.XLOOKUP(C31,customers!$A:$A,customers!$C:$C,,0)=0,"",_xlfn.XLOOKUP(C31,customers!$A:$A,customers!$C:$C,,0))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
        <v>6199</v>
      </c>
      <c r="O31" t="str" cm="1">
        <f t="array" ref="O31">_xlfn.IFS(J31="M","Medium", J31="L","Light", J31="D","Dark")</f>
        <v>Dark</v>
      </c>
      <c r="P31" t="str">
        <f>_xlfn.XLOOKUP(orders!$C$2:$C$1001,customers!$A$2:$A$1001,customers!$I$2:$I$1001,,0)</f>
        <v>Yes</v>
      </c>
    </row>
    <row r="32" spans="1:16" x14ac:dyDescent="0.3">
      <c r="A32" s="2" t="s">
        <v>661</v>
      </c>
      <c r="B32" s="3">
        <v>44464</v>
      </c>
      <c r="C32" s="2" t="s">
        <v>662</v>
      </c>
      <c r="D32" t="s">
        <v>6159</v>
      </c>
      <c r="E32" s="2">
        <v>5</v>
      </c>
      <c r="F32" s="2" t="str">
        <f>_xlfn.XLOOKUP(C32,customers!$A$1:$A$1001,customers!$B$1:$B$1001,,0)</f>
        <v>Adrian Swaine</v>
      </c>
      <c r="G32" s="2" t="str">
        <f>IF(_xlfn.XLOOKUP(C32,customers!$A:$A,customers!$C:$C,,0)=0,"",_xlfn.XLOOKUP(C32,customers!$A:$A,customers!$C:$C,,0))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
        <v>6200</v>
      </c>
      <c r="O32" t="str" cm="1">
        <f t="array" ref="O32">_xlfn.IFS(J32="M","Medium", J32="L","Light", J32="D","Dark")</f>
        <v>Medium</v>
      </c>
      <c r="P32" t="str">
        <f>_xlfn.XLOOKUP(orders!$C$2:$C$1001,customers!$A$2:$A$1001,customers!$I$2:$I$1001,,0)</f>
        <v>No</v>
      </c>
    </row>
    <row r="33" spans="1:16" x14ac:dyDescent="0.3">
      <c r="A33" s="2" t="s">
        <v>661</v>
      </c>
      <c r="B33" s="3">
        <v>44464</v>
      </c>
      <c r="C33" s="2" t="s">
        <v>662</v>
      </c>
      <c r="D33" t="s">
        <v>6158</v>
      </c>
      <c r="E33" s="2">
        <v>6</v>
      </c>
      <c r="F33" s="2" t="str">
        <f>_xlfn.XLOOKUP(C33,customers!$A$1:$A$1001,customers!$B$1:$B$1001,,0)</f>
        <v>Adrian Swaine</v>
      </c>
      <c r="G33" s="2" t="str">
        <f>IF(_xlfn.XLOOKUP(C33,customers!$A:$A,customers!$C:$C,,0)=0,"",_xlfn.XLOOKUP(C33,customers!$A:$A,customers!$C:$C,,0))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
        <v>6199</v>
      </c>
      <c r="O33" t="str" cm="1">
        <f t="array" ref="O33">_xlfn.IFS(J33="M","Medium", J33="L","Light", J33="D","Dark")</f>
        <v>Dark</v>
      </c>
      <c r="P33" t="str">
        <f>_xlfn.XLOOKUP(orders!$C$2:$C$1001,customers!$A$2:$A$1001,customers!$I$2:$I$1001,,0)</f>
        <v>No</v>
      </c>
    </row>
    <row r="34" spans="1:16" x14ac:dyDescent="0.3">
      <c r="A34" s="2" t="s">
        <v>661</v>
      </c>
      <c r="B34" s="3">
        <v>44464</v>
      </c>
      <c r="C34" s="2" t="s">
        <v>662</v>
      </c>
      <c r="D34" t="s">
        <v>6160</v>
      </c>
      <c r="E34" s="2">
        <v>6</v>
      </c>
      <c r="F34" s="2" t="str">
        <f>_xlfn.XLOOKUP(C34,customers!$A$1:$A$1001,customers!$B$1:$B$1001,,0)</f>
        <v>Adrian Swaine</v>
      </c>
      <c r="G34" s="2" t="str">
        <f>IF(_xlfn.XLOOKUP(C34,customers!$A:$A,customers!$C:$C,,0)=0,"",_xlfn.XLOOKUP(C34,customers!$A:$A,customers!$C:$C,,0))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
        <v>6200</v>
      </c>
      <c r="O34" t="str" cm="1">
        <f t="array" ref="O34">_xlfn.IFS(J34="M","Medium", J34="L","Light", J34="D","Dark")</f>
        <v>Medium</v>
      </c>
      <c r="P34" t="str">
        <f>_xlfn.XLOOKUP(orders!$C$2:$C$1001,customers!$A$2:$A$1001,customers!$I$2:$I$1001,,0)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IF(_xlfn.XLOOKUP(C35,customers!$A:$A,customers!$C:$C,,0)=0,"",_xlfn.XLOOKUP(C35,customers!$A:$A,customers!$C:$C,,0))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
        <v>6200</v>
      </c>
      <c r="O35" t="str" cm="1">
        <f t="array" ref="O35">_xlfn.IFS(J35="M","Medium", J35="L","Light", J35="D","Dark")</f>
        <v>Light</v>
      </c>
      <c r="P35" t="str">
        <f>_xlfn.XLOOKUP(orders!$C$2:$C$1001,customers!$A$2:$A$1001,customers!$I$2:$I$1001,,0)</f>
        <v>No</v>
      </c>
    </row>
    <row r="36" spans="1:16" x14ac:dyDescent="0.3">
      <c r="A36" s="2" t="s">
        <v>681</v>
      </c>
      <c r="B36" s="3">
        <v>44011</v>
      </c>
      <c r="C36" s="2" t="s">
        <v>682</v>
      </c>
      <c r="D36" t="s">
        <v>6161</v>
      </c>
      <c r="E36" s="2">
        <v>6</v>
      </c>
      <c r="F36" s="2" t="str">
        <f>_xlfn.XLOOKUP(C36,customers!$A$1:$A$1001,customers!$B$1:$B$1001,,0)</f>
        <v>Una Welberry</v>
      </c>
      <c r="G36" s="2" t="str">
        <f>IF(_xlfn.XLOOKUP(C36,customers!$A:$A,customers!$C:$C,,0)=0,"",_xlfn.XLOOKUP(C36,customers!$A:$A,customers!$C:$C,,0))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
        <v>6200</v>
      </c>
      <c r="O36" t="str" cm="1">
        <f t="array" ref="O36">_xlfn.IFS(J36="M","Medium", J36="L","Light", J36="D","Dark")</f>
        <v>Light</v>
      </c>
      <c r="P36" t="str">
        <f>_xlfn.XLOOKUP(orders!$C$2:$C$1001,customers!$A$2:$A$1001,customers!$I$2:$I$1001,,0)</f>
        <v>Yes</v>
      </c>
    </row>
    <row r="37" spans="1:16" x14ac:dyDescent="0.3">
      <c r="A37" s="2" t="s">
        <v>687</v>
      </c>
      <c r="B37" s="3">
        <v>44348</v>
      </c>
      <c r="C37" s="2" t="s">
        <v>688</v>
      </c>
      <c r="D37" t="s">
        <v>6158</v>
      </c>
      <c r="E37" s="2">
        <v>6</v>
      </c>
      <c r="F37" s="2" t="str">
        <f>_xlfn.XLOOKUP(C37,customers!$A$1:$A$1001,customers!$B$1:$B$1001,,0)</f>
        <v>Faber Eilhart</v>
      </c>
      <c r="G37" s="2" t="str">
        <f>IF(_xlfn.XLOOKUP(C37,customers!$A:$A,customers!$C:$C,,0)=0,"",_xlfn.XLOOKUP(C37,customers!$A:$A,customers!$C:$C,,0))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
        <v>6199</v>
      </c>
      <c r="O37" t="str" cm="1">
        <f t="array" ref="O37">_xlfn.IFS(J37="M","Medium", J37="L","Light", J37="D","Dark")</f>
        <v>Dark</v>
      </c>
      <c r="P37" t="str">
        <f>_xlfn.XLOOKUP(orders!$C$2:$C$1001,customers!$A$2:$A$1001,customers!$I$2:$I$1001,,0)</f>
        <v>No</v>
      </c>
    </row>
    <row r="38" spans="1:16" x14ac:dyDescent="0.3">
      <c r="A38" s="2" t="s">
        <v>693</v>
      </c>
      <c r="B38" s="3">
        <v>44233</v>
      </c>
      <c r="C38" s="2" t="s">
        <v>694</v>
      </c>
      <c r="D38" t="s">
        <v>6159</v>
      </c>
      <c r="E38" s="2">
        <v>2</v>
      </c>
      <c r="F38" s="2" t="str">
        <f>_xlfn.XLOOKUP(C38,customers!$A$1:$A$1001,customers!$B$1:$B$1001,,0)</f>
        <v>Zorina Ponting</v>
      </c>
      <c r="G38" s="2" t="str">
        <f>IF(_xlfn.XLOOKUP(C38,customers!$A:$A,customers!$C:$C,,0)=0,"",_xlfn.XLOOKUP(C38,customers!$A:$A,customers!$C:$C,,0))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
        <v>6200</v>
      </c>
      <c r="O38" t="str" cm="1">
        <f t="array" ref="O38">_xlfn.IFS(J38="M","Medium", J38="L","Light", J38="D","Dark")</f>
        <v>Medium</v>
      </c>
      <c r="P38" t="str">
        <f>_xlfn.XLOOKUP(orders!$C$2:$C$1001,customers!$A$2:$A$1001,customers!$I$2:$I$1001,,0)</f>
        <v>No</v>
      </c>
    </row>
    <row r="39" spans="1:16" x14ac:dyDescent="0.3">
      <c r="A39" s="2" t="s">
        <v>699</v>
      </c>
      <c r="B39" s="3">
        <v>43580</v>
      </c>
      <c r="C39" s="2" t="s">
        <v>700</v>
      </c>
      <c r="D39" t="s">
        <v>6161</v>
      </c>
      <c r="E39" s="2">
        <v>3</v>
      </c>
      <c r="F39" s="2" t="str">
        <f>_xlfn.XLOOKUP(C39,customers!$A$1:$A$1001,customers!$B$1:$B$1001,,0)</f>
        <v>Silvio Strase</v>
      </c>
      <c r="G39" s="2" t="str">
        <f>IF(_xlfn.XLOOKUP(C39,customers!$A:$A,customers!$C:$C,,0)=0,"",_xlfn.XLOOKUP(C39,customers!$A:$A,customers!$C:$C,,0))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
        <v>6200</v>
      </c>
      <c r="O39" t="str" cm="1">
        <f t="array" ref="O39">_xlfn.IFS(J39="M","Medium", J39="L","Light", J39="D","Dark")</f>
        <v>Light</v>
      </c>
      <c r="P39" t="str">
        <f>_xlfn.XLOOKUP(orders!$C$2:$C$1001,customers!$A$2:$A$1001,customers!$I$2:$I$1001,,0)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IF(_xlfn.XLOOKUP(C40,customers!$A:$A,customers!$C:$C,,0)=0,"",_xlfn.XLOOKUP(C40,customers!$A:$A,customers!$C:$C,,0))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
        <v>6197</v>
      </c>
      <c r="O40" t="str" cm="1">
        <f t="array" ref="O40">_xlfn.IFS(J40="M","Medium", J40="L","Light", J40="D","Dark")</f>
        <v>Medium</v>
      </c>
      <c r="P40" t="str">
        <f>_xlfn.XLOOKUP(orders!$C$2:$C$1001,customers!$A$2:$A$1001,customers!$I$2:$I$1001,,0)</f>
        <v>No</v>
      </c>
    </row>
    <row r="41" spans="1:16" x14ac:dyDescent="0.3">
      <c r="A41" s="2" t="s">
        <v>711</v>
      </c>
      <c r="B41" s="3">
        <v>44524</v>
      </c>
      <c r="C41" s="2" t="s">
        <v>712</v>
      </c>
      <c r="D41" t="s">
        <v>6138</v>
      </c>
      <c r="E41" s="2">
        <v>6</v>
      </c>
      <c r="F41" s="2" t="str">
        <f>_xlfn.XLOOKUP(C41,customers!$A$1:$A$1001,customers!$B$1:$B$1001,,0)</f>
        <v>Hy Zanetto</v>
      </c>
      <c r="G41" s="2" t="str">
        <f>IF(_xlfn.XLOOKUP(C41,customers!$A:$A,customers!$C:$C,,0)=0,"",_xlfn.XLOOKUP(C41,customers!$A:$A,customers!$C:$C,,0))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
        <v>6197</v>
      </c>
      <c r="O41" t="str" cm="1">
        <f t="array" ref="O41">_xlfn.IFS(J41="M","Medium", J41="L","Light", J41="D","Dark")</f>
        <v>Medium</v>
      </c>
      <c r="P41" t="str">
        <f>_xlfn.XLOOKUP(orders!$C$2:$C$1001,customers!$A$2:$A$1001,customers!$I$2:$I$1001,,0)</f>
        <v>Yes</v>
      </c>
    </row>
    <row r="42" spans="1:16" x14ac:dyDescent="0.3">
      <c r="A42" s="2" t="s">
        <v>715</v>
      </c>
      <c r="B42" s="3">
        <v>44305</v>
      </c>
      <c r="C42" s="2" t="s">
        <v>716</v>
      </c>
      <c r="D42" t="s">
        <v>6162</v>
      </c>
      <c r="E42" s="2">
        <v>3</v>
      </c>
      <c r="F42" s="2" t="str">
        <f>_xlfn.XLOOKUP(C42,customers!$A$1:$A$1001,customers!$B$1:$B$1001,,0)</f>
        <v>Jessica McNess</v>
      </c>
      <c r="G42" s="2" t="str">
        <f>IF(_xlfn.XLOOKUP(C42,customers!$A:$A,customers!$C:$C,,0)=0,"",_xlfn.XLOOKUP(C42,customers!$A:$A,customers!$C:$C,,0))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
        <v>6200</v>
      </c>
      <c r="O42" t="str" cm="1">
        <f t="array" ref="O42">_xlfn.IFS(J42="M","Medium", J42="L","Light", J42="D","Dark")</f>
        <v>Medium</v>
      </c>
      <c r="P42" t="str">
        <f>_xlfn.XLOOKUP(orders!$C$2:$C$1001,customers!$A$2:$A$1001,customers!$I$2:$I$1001,,0)</f>
        <v>No</v>
      </c>
    </row>
    <row r="43" spans="1:16" x14ac:dyDescent="0.3">
      <c r="A43" s="2" t="s">
        <v>720</v>
      </c>
      <c r="B43" s="3">
        <v>44749</v>
      </c>
      <c r="C43" s="2" t="s">
        <v>721</v>
      </c>
      <c r="D43" t="s">
        <v>6153</v>
      </c>
      <c r="E43" s="2">
        <v>2</v>
      </c>
      <c r="F43" s="2" t="str">
        <f>_xlfn.XLOOKUP(C43,customers!$A$1:$A$1001,customers!$B$1:$B$1001,,0)</f>
        <v>Lorenzo Yeoland</v>
      </c>
      <c r="G43" s="2" t="str">
        <f>IF(_xlfn.XLOOKUP(C43,customers!$A:$A,customers!$C:$C,,0)=0,"",_xlfn.XLOOKUP(C43,customers!$A:$A,customers!$C:$C,,0))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
        <v>6198</v>
      </c>
      <c r="O43" t="str" cm="1">
        <f t="array" ref="O43">_xlfn.IFS(J43="M","Medium", J43="L","Light", J43="D","Dark")</f>
        <v>Dark</v>
      </c>
      <c r="P43" t="str">
        <f>_xlfn.XLOOKUP(orders!$C$2:$C$1001,customers!$A$2:$A$1001,customers!$I$2:$I$1001,,0)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IF(_xlfn.XLOOKUP(C44,customers!$A:$A,customers!$C:$C,,0)=0,"",_xlfn.XLOOKUP(C44,customers!$A:$A,customers!$C:$C,,0))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
        <v>6197</v>
      </c>
      <c r="O44" t="str" cm="1">
        <f t="array" ref="O44">_xlfn.IFS(J44="M","Medium", J44="L","Light", J44="D","Dark")</f>
        <v>Dark</v>
      </c>
      <c r="P44" t="str">
        <f>_xlfn.XLOOKUP(orders!$C$2:$C$1001,customers!$A$2:$A$1001,customers!$I$2:$I$1001,,0)</f>
        <v>Yes</v>
      </c>
    </row>
    <row r="45" spans="1:16" x14ac:dyDescent="0.3">
      <c r="A45" s="2" t="s">
        <v>733</v>
      </c>
      <c r="B45" s="3">
        <v>44473</v>
      </c>
      <c r="C45" s="2" t="s">
        <v>734</v>
      </c>
      <c r="D45" t="s">
        <v>6164</v>
      </c>
      <c r="E45" s="2">
        <v>2</v>
      </c>
      <c r="F45" s="2" t="str">
        <f>_xlfn.XLOOKUP(C45,customers!$A$1:$A$1001,customers!$B$1:$B$1001,,0)</f>
        <v>Maurie Bartol</v>
      </c>
      <c r="G45" s="2" t="str">
        <f>IF(_xlfn.XLOOKUP(C45,customers!$A:$A,customers!$C:$C,,0)=0,"",_xlfn.XLOOKUP(C45,customers!$A:$A,customers!$C:$C,,0))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
        <v>6200</v>
      </c>
      <c r="O45" t="str" cm="1">
        <f t="array" ref="O45">_xlfn.IFS(J45="M","Medium", J45="L","Light", J45="D","Dark")</f>
        <v>Light</v>
      </c>
      <c r="P45" t="str">
        <f>_xlfn.XLOOKUP(orders!$C$2:$C$1001,customers!$A$2:$A$1001,customers!$I$2:$I$1001,,0)</f>
        <v>No</v>
      </c>
    </row>
    <row r="46" spans="1:16" x14ac:dyDescent="0.3">
      <c r="A46" s="2" t="s">
        <v>738</v>
      </c>
      <c r="B46" s="3">
        <v>43932</v>
      </c>
      <c r="C46" s="2" t="s">
        <v>739</v>
      </c>
      <c r="D46" t="s">
        <v>6139</v>
      </c>
      <c r="E46" s="2">
        <v>2</v>
      </c>
      <c r="F46" s="2" t="str">
        <f>_xlfn.XLOOKUP(C46,customers!$A$1:$A$1001,customers!$B$1:$B$1001,,0)</f>
        <v>Olag Baudassi</v>
      </c>
      <c r="G46" s="2" t="str">
        <f>IF(_xlfn.XLOOKUP(C46,customers!$A:$A,customers!$C:$C,,0)=0,"",_xlfn.XLOOKUP(C46,customers!$A:$A,customers!$C:$C,,0))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
        <v>6198</v>
      </c>
      <c r="O46" t="str" cm="1">
        <f t="array" ref="O46">_xlfn.IFS(J46="M","Medium", J46="L","Light", J46="D","Dark")</f>
        <v>Medium</v>
      </c>
      <c r="P46" t="str">
        <f>_xlfn.XLOOKUP(orders!$C$2:$C$1001,customers!$A$2:$A$1001,customers!$I$2:$I$1001,,0)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IF(_xlfn.XLOOKUP(C47,customers!$A:$A,customers!$C:$C,,0)=0,"",_xlfn.XLOOKUP(C47,customers!$A:$A,customers!$C:$C,,0))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
        <v>6200</v>
      </c>
      <c r="O47" t="str" cm="1">
        <f t="array" ref="O47">_xlfn.IFS(J47="M","Medium", J47="L","Light", J47="D","Dark")</f>
        <v>Dark</v>
      </c>
      <c r="P47" t="str">
        <f>_xlfn.XLOOKUP(orders!$C$2:$C$1001,customers!$A$2:$A$1001,customers!$I$2:$I$1001,,0)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IF(_xlfn.XLOOKUP(C48,customers!$A:$A,customers!$C:$C,,0)=0,"",_xlfn.XLOOKUP(C48,customers!$A:$A,customers!$C:$C,,0))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
        <v>6198</v>
      </c>
      <c r="O48" t="str" cm="1">
        <f t="array" ref="O48">_xlfn.IFS(J48="M","Medium", J48="L","Light", J48="D","Dark")</f>
        <v>Medium</v>
      </c>
      <c r="P48" t="str">
        <f>_xlfn.XLOOKUP(orders!$C$2:$C$1001,customers!$A$2:$A$1001,customers!$I$2:$I$1001,,0)</f>
        <v>Yes</v>
      </c>
    </row>
    <row r="49" spans="1:16" x14ac:dyDescent="0.3">
      <c r="A49" s="2" t="s">
        <v>755</v>
      </c>
      <c r="B49" s="3">
        <v>43644</v>
      </c>
      <c r="C49" s="2" t="s">
        <v>756</v>
      </c>
      <c r="D49" t="s">
        <v>6167</v>
      </c>
      <c r="E49" s="2">
        <v>2</v>
      </c>
      <c r="F49" s="2" t="str">
        <f>_xlfn.XLOOKUP(C49,customers!$A$1:$A$1001,customers!$B$1:$B$1001,,0)</f>
        <v>Arda Curley</v>
      </c>
      <c r="G49" s="2" t="str">
        <f>IF(_xlfn.XLOOKUP(C49,customers!$A:$A,customers!$C:$C,,0)=0,"",_xlfn.XLOOKUP(C49,customers!$A:$A,customers!$C:$C,,0))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
        <v>6199</v>
      </c>
      <c r="O49" t="str" cm="1">
        <f t="array" ref="O49">_xlfn.IFS(J49="M","Medium", J49="L","Light", J49="D","Dark")</f>
        <v>Light</v>
      </c>
      <c r="P49" t="str">
        <f>_xlfn.XLOOKUP(orders!$C$2:$C$1001,customers!$A$2:$A$1001,customers!$I$2:$I$1001,,0)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IF(_xlfn.XLOOKUP(C50,customers!$A:$A,customers!$C:$C,,0)=0,"",_xlfn.XLOOKUP(C50,customers!$A:$A,customers!$C:$C,,0))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
        <v>6199</v>
      </c>
      <c r="O50" t="str" cm="1">
        <f t="array" ref="O50">_xlfn.IFS(J50="M","Medium", J50="L","Light", J50="D","Dark")</f>
        <v>Dark</v>
      </c>
      <c r="P50" t="str">
        <f>_xlfn.XLOOKUP(orders!$C$2:$C$1001,customers!$A$2:$A$1001,customers!$I$2:$I$1001,,0)</f>
        <v>No</v>
      </c>
    </row>
    <row r="51" spans="1:16" x14ac:dyDescent="0.3">
      <c r="A51" s="2" t="s">
        <v>766</v>
      </c>
      <c r="B51" s="3">
        <v>44790</v>
      </c>
      <c r="C51" s="2" t="s">
        <v>767</v>
      </c>
      <c r="D51" t="s">
        <v>6140</v>
      </c>
      <c r="E51" s="2">
        <v>3</v>
      </c>
      <c r="F51" s="2" t="str">
        <f>_xlfn.XLOOKUP(C51,customers!$A$1:$A$1001,customers!$B$1:$B$1001,,0)</f>
        <v>Isis Pikett</v>
      </c>
      <c r="G51" s="2" t="str">
        <f>IF(_xlfn.XLOOKUP(C51,customers!$A:$A,customers!$C:$C,,0)=0,"",_xlfn.XLOOKUP(C51,customers!$A:$A,customers!$C:$C,,0))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
        <v>6199</v>
      </c>
      <c r="O51" t="str" cm="1">
        <f t="array" ref="O51">_xlfn.IFS(J51="M","Medium", J51="L","Light", J51="D","Dark")</f>
        <v>Light</v>
      </c>
      <c r="P51" t="str">
        <f>_xlfn.XLOOKUP(orders!$C$2:$C$1001,customers!$A$2:$A$1001,customers!$I$2:$I$1001,,0)</f>
        <v>No</v>
      </c>
    </row>
    <row r="52" spans="1:16" x14ac:dyDescent="0.3">
      <c r="A52" s="2" t="s">
        <v>772</v>
      </c>
      <c r="B52" s="3">
        <v>44792</v>
      </c>
      <c r="C52" s="2" t="s">
        <v>773</v>
      </c>
      <c r="D52" t="s">
        <v>6169</v>
      </c>
      <c r="E52" s="2">
        <v>2</v>
      </c>
      <c r="F52" s="2" t="str">
        <f>_xlfn.XLOOKUP(C52,customers!$A$1:$A$1001,customers!$B$1:$B$1001,,0)</f>
        <v>Inger Bouldon</v>
      </c>
      <c r="G52" s="2" t="str">
        <f>IF(_xlfn.XLOOKUP(C52,customers!$A:$A,customers!$C:$C,,0)=0,"",_xlfn.XLOOKUP(C52,customers!$A:$A,customers!$C:$C,,0))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
        <v>6200</v>
      </c>
      <c r="O52" t="str" cm="1">
        <f t="array" ref="O52">_xlfn.IFS(J52="M","Medium", J52="L","Light", J52="D","Dark")</f>
        <v>Dark</v>
      </c>
      <c r="P52" t="str">
        <f>_xlfn.XLOOKUP(orders!$C$2:$C$1001,customers!$A$2:$A$1001,customers!$I$2:$I$1001,,0)</f>
        <v>No</v>
      </c>
    </row>
    <row r="53" spans="1:16" x14ac:dyDescent="0.3">
      <c r="A53" s="2" t="s">
        <v>778</v>
      </c>
      <c r="B53" s="3">
        <v>43600</v>
      </c>
      <c r="C53" s="2" t="s">
        <v>779</v>
      </c>
      <c r="D53" t="s">
        <v>6164</v>
      </c>
      <c r="E53" s="2">
        <v>4</v>
      </c>
      <c r="F53" s="2" t="str">
        <f>_xlfn.XLOOKUP(C53,customers!$A$1:$A$1001,customers!$B$1:$B$1001,,0)</f>
        <v>Karry Flanders</v>
      </c>
      <c r="G53" s="2" t="str">
        <f>IF(_xlfn.XLOOKUP(C53,customers!$A:$A,customers!$C:$C,,0)=0,"",_xlfn.XLOOKUP(C53,customers!$A:$A,customers!$C:$C,,0))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
        <v>6200</v>
      </c>
      <c r="O53" t="str" cm="1">
        <f t="array" ref="O53">_xlfn.IFS(J53="M","Medium", J53="L","Light", J53="D","Dark")</f>
        <v>Light</v>
      </c>
      <c r="P53" t="str">
        <f>_xlfn.XLOOKUP(orders!$C$2:$C$1001,customers!$A$2:$A$1001,customers!$I$2:$I$1001,,0)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IF(_xlfn.XLOOKUP(C54,customers!$A:$A,customers!$C:$C,,0)=0,"",_xlfn.XLOOKUP(C54,customers!$A:$A,customers!$C:$C,,0))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
        <v>6197</v>
      </c>
      <c r="O54" t="str" cm="1">
        <f t="array" ref="O54">_xlfn.IFS(J54="M","Medium", J54="L","Light", J54="D","Dark")</f>
        <v>Medium</v>
      </c>
      <c r="P54" t="str">
        <f>_xlfn.XLOOKUP(orders!$C$2:$C$1001,customers!$A$2:$A$1001,customers!$I$2:$I$1001,,0)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IF(_xlfn.XLOOKUP(C55,customers!$A:$A,customers!$C:$C,,0)=0,"",_xlfn.XLOOKUP(C55,customers!$A:$A,customers!$C:$C,,0))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
        <v>6200</v>
      </c>
      <c r="O55" t="str" cm="1">
        <f t="array" ref="O55">_xlfn.IFS(J55="M","Medium", J55="L","Light", J55="D","Dark")</f>
        <v>Light</v>
      </c>
      <c r="P55" t="str">
        <f>_xlfn.XLOOKUP(orders!$C$2:$C$1001,customers!$A$2:$A$1001,customers!$I$2:$I$1001,,0)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IF(_xlfn.XLOOKUP(C56,customers!$A:$A,customers!$C:$C,,0)=0,"",_xlfn.XLOOKUP(C56,customers!$A:$A,customers!$C:$C,,0))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
        <v>6200</v>
      </c>
      <c r="O56" t="str" cm="1">
        <f t="array" ref="O56">_xlfn.IFS(J56="M","Medium", J56="L","Light", J56="D","Dark")</f>
        <v>Medium</v>
      </c>
      <c r="P56" t="str">
        <f>_xlfn.XLOOKUP(orders!$C$2:$C$1001,customers!$A$2:$A$1001,customers!$I$2:$I$1001,,0)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IF(_xlfn.XLOOKUP(C57,customers!$A:$A,customers!$C:$C,,0)=0,"",_xlfn.XLOOKUP(C57,customers!$A:$A,customers!$C:$C,,0))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
        <v>6200</v>
      </c>
      <c r="O57" t="str" cm="1">
        <f t="array" ref="O57">_xlfn.IFS(J57="M","Medium", J57="L","Light", J57="D","Dark")</f>
        <v>Light</v>
      </c>
      <c r="P57" t="str">
        <f>_xlfn.XLOOKUP(orders!$C$2:$C$1001,customers!$A$2:$A$1001,customers!$I$2:$I$1001,,0)</f>
        <v>No</v>
      </c>
    </row>
    <row r="58" spans="1:16" x14ac:dyDescent="0.3">
      <c r="A58" s="2" t="s">
        <v>805</v>
      </c>
      <c r="B58" s="3">
        <v>43857</v>
      </c>
      <c r="C58" s="2" t="s">
        <v>806</v>
      </c>
      <c r="D58" t="s">
        <v>6153</v>
      </c>
      <c r="E58" s="2">
        <v>3</v>
      </c>
      <c r="F58" s="2" t="str">
        <f>_xlfn.XLOOKUP(C58,customers!$A$1:$A$1001,customers!$B$1:$B$1001,,0)</f>
        <v>Theda Grizard</v>
      </c>
      <c r="G58" s="2" t="str">
        <f>IF(_xlfn.XLOOKUP(C58,customers!$A:$A,customers!$C:$C,,0)=0,"",_xlfn.XLOOKUP(C58,customers!$A:$A,customers!$C:$C,,0))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
        <v>6198</v>
      </c>
      <c r="O58" t="str" cm="1">
        <f t="array" ref="O58">_xlfn.IFS(J58="M","Medium", J58="L","Light", J58="D","Dark")</f>
        <v>Dark</v>
      </c>
      <c r="P58" t="str">
        <f>_xlfn.XLOOKUP(orders!$C$2:$C$1001,customers!$A$2:$A$1001,customers!$I$2:$I$1001,,0)</f>
        <v>Yes</v>
      </c>
    </row>
    <row r="59" spans="1:16" x14ac:dyDescent="0.3">
      <c r="A59" s="2" t="s">
        <v>811</v>
      </c>
      <c r="B59" s="3">
        <v>44759</v>
      </c>
      <c r="C59" s="2" t="s">
        <v>812</v>
      </c>
      <c r="D59" t="s">
        <v>6171</v>
      </c>
      <c r="E59" s="2">
        <v>4</v>
      </c>
      <c r="F59" s="2" t="str">
        <f>_xlfn.XLOOKUP(C59,customers!$A$1:$A$1001,customers!$B$1:$B$1001,,0)</f>
        <v>Rozele Relton</v>
      </c>
      <c r="G59" s="2" t="str">
        <f>IF(_xlfn.XLOOKUP(C59,customers!$A:$A,customers!$C:$C,,0)=0,"",_xlfn.XLOOKUP(C59,customers!$A:$A,customers!$C:$C,,0))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
        <v>6198</v>
      </c>
      <c r="O59" t="str" cm="1">
        <f t="array" ref="O59">_xlfn.IFS(J59="M","Medium", J59="L","Light", J59="D","Dark")</f>
        <v>Light</v>
      </c>
      <c r="P59" t="str">
        <f>_xlfn.XLOOKUP(orders!$C$2:$C$1001,customers!$A$2:$A$1001,customers!$I$2:$I$1001,,0)</f>
        <v>No</v>
      </c>
    </row>
    <row r="60" spans="1:16" x14ac:dyDescent="0.3">
      <c r="A60" s="2" t="s">
        <v>817</v>
      </c>
      <c r="B60" s="3">
        <v>44624</v>
      </c>
      <c r="C60" s="2" t="s">
        <v>818</v>
      </c>
      <c r="D60" t="s">
        <v>6165</v>
      </c>
      <c r="E60" s="2">
        <v>3</v>
      </c>
      <c r="F60" s="2" t="str">
        <f>_xlfn.XLOOKUP(C60,customers!$A$1:$A$1001,customers!$B$1:$B$1001,,0)</f>
        <v>Willa Rolling</v>
      </c>
      <c r="G60" s="2" t="str">
        <f>IF(_xlfn.XLOOKUP(C60,customers!$A:$A,customers!$C:$C,,0)=0,"",_xlfn.XLOOKUP(C60,customers!$A:$A,customers!$C:$C,,0))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
        <v>6200</v>
      </c>
      <c r="O60" t="str" cm="1">
        <f t="array" ref="O60">_xlfn.IFS(J60="M","Medium", J60="L","Light", J60="D","Dark")</f>
        <v>Dark</v>
      </c>
      <c r="P60" t="str">
        <f>_xlfn.XLOOKUP(orders!$C$2:$C$1001,customers!$A$2:$A$1001,customers!$I$2:$I$1001,,0)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IF(_xlfn.XLOOKUP(C61,customers!$A:$A,customers!$C:$C,,0)=0,"",_xlfn.XLOOKUP(C61,customers!$A:$A,customers!$C:$C,,0))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
        <v>6200</v>
      </c>
      <c r="O61" t="str" cm="1">
        <f t="array" ref="O61">_xlfn.IFS(J61="M","Medium", J61="L","Light", J61="D","Dark")</f>
        <v>Medium</v>
      </c>
      <c r="P61" t="str">
        <f>_xlfn.XLOOKUP(orders!$C$2:$C$1001,customers!$A$2:$A$1001,customers!$I$2:$I$1001,,0)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IF(_xlfn.XLOOKUP(C62,customers!$A:$A,customers!$C:$C,,0)=0,"",_xlfn.XLOOKUP(C62,customers!$A:$A,customers!$C:$C,,0))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
        <v>6199</v>
      </c>
      <c r="O62" t="str" cm="1">
        <f t="array" ref="O62">_xlfn.IFS(J62="M","Medium", J62="L","Light", J62="D","Dark")</f>
        <v>Dark</v>
      </c>
      <c r="P62" t="str">
        <f>_xlfn.XLOOKUP(orders!$C$2:$C$1001,customers!$A$2:$A$1001,customers!$I$2:$I$1001,,0)</f>
        <v>No</v>
      </c>
    </row>
    <row r="63" spans="1:16" x14ac:dyDescent="0.3">
      <c r="A63" s="2" t="s">
        <v>833</v>
      </c>
      <c r="B63" s="3">
        <v>43521</v>
      </c>
      <c r="C63" s="2" t="s">
        <v>834</v>
      </c>
      <c r="D63" t="s">
        <v>6172</v>
      </c>
      <c r="E63" s="2">
        <v>5</v>
      </c>
      <c r="F63" s="2" t="str">
        <f>_xlfn.XLOOKUP(C63,customers!$A$1:$A$1001,customers!$B$1:$B$1001,,0)</f>
        <v>Pammi Endacott</v>
      </c>
      <c r="G63" s="2" t="str">
        <f>IF(_xlfn.XLOOKUP(C63,customers!$A:$A,customers!$C:$C,,0)=0,"",_xlfn.XLOOKUP(C63,customers!$A:$A,customers!$C:$C,,0))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
        <v>6197</v>
      </c>
      <c r="O63" t="str" cm="1">
        <f t="array" ref="O63">_xlfn.IFS(J63="M","Medium", J63="L","Light", J63="D","Dark")</f>
        <v>Dark</v>
      </c>
      <c r="P63" t="str">
        <f>_xlfn.XLOOKUP(orders!$C$2:$C$1001,customers!$A$2:$A$1001,customers!$I$2:$I$1001,,0)</f>
        <v>Yes</v>
      </c>
    </row>
    <row r="64" spans="1:16" x14ac:dyDescent="0.3">
      <c r="A64" s="2" t="s">
        <v>838</v>
      </c>
      <c r="B64" s="3">
        <v>43505</v>
      </c>
      <c r="C64" s="2" t="s">
        <v>839</v>
      </c>
      <c r="D64" t="s">
        <v>6145</v>
      </c>
      <c r="E64" s="2">
        <v>5</v>
      </c>
      <c r="F64" s="2" t="str">
        <f>_xlfn.XLOOKUP(C64,customers!$A$1:$A$1001,customers!$B$1:$B$1001,,0)</f>
        <v>Nona Linklater</v>
      </c>
      <c r="G64" s="2" t="str">
        <f>IF(_xlfn.XLOOKUP(C64,customers!$A:$A,customers!$C:$C,,0)=0,"",_xlfn.XLOOKUP(C64,customers!$A:$A,customers!$C:$C,,0))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
        <v>6200</v>
      </c>
      <c r="O64" t="str" cm="1">
        <f t="array" ref="O64">_xlfn.IFS(J64="M","Medium", J64="L","Light", J64="D","Dark")</f>
        <v>Light</v>
      </c>
      <c r="P64" t="str">
        <f>_xlfn.XLOOKUP(orders!$C$2:$C$1001,customers!$A$2:$A$1001,customers!$I$2:$I$1001,,0)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IF(_xlfn.XLOOKUP(C65,customers!$A:$A,customers!$C:$C,,0)=0,"",_xlfn.XLOOKUP(C65,customers!$A:$A,customers!$C:$C,,0))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
        <v>6199</v>
      </c>
      <c r="O65" t="str" cm="1">
        <f t="array" ref="O65">_xlfn.IFS(J65="M","Medium", J65="L","Light", J65="D","Dark")</f>
        <v>Medium</v>
      </c>
      <c r="P65" t="str">
        <f>_xlfn.XLOOKUP(orders!$C$2:$C$1001,customers!$A$2:$A$1001,customers!$I$2:$I$1001,,0)</f>
        <v>No</v>
      </c>
    </row>
    <row r="66" spans="1:16" x14ac:dyDescent="0.3">
      <c r="A66" s="2" t="s">
        <v>849</v>
      </c>
      <c r="B66" s="3">
        <v>43913</v>
      </c>
      <c r="C66" s="2" t="s">
        <v>850</v>
      </c>
      <c r="D66" t="s">
        <v>6146</v>
      </c>
      <c r="E66" s="2">
        <v>6</v>
      </c>
      <c r="F66" s="2" t="str">
        <f>_xlfn.XLOOKUP(C66,customers!$A$1:$A$1001,customers!$B$1:$B$1001,,0)</f>
        <v>Felecia Dodgson</v>
      </c>
      <c r="G66" s="2" t="str">
        <f>IF(_xlfn.XLOOKUP(C66,customers!$A:$A,customers!$C:$C,,0)=0,"",_xlfn.XLOOKUP(C66,customers!$A:$A,customers!$C:$C,,0))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
        <v>6197</v>
      </c>
      <c r="O66" t="str" cm="1">
        <f t="array" ref="O66">_xlfn.IFS(J66="M","Medium", J66="L","Light", J66="D","Dark")</f>
        <v>Medium</v>
      </c>
      <c r="P66" t="str">
        <f>_xlfn.XLOOKUP(orders!$C$2:$C$1001,customers!$A$2:$A$1001,customers!$I$2:$I$1001,,0)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IF(_xlfn.XLOOKUP(C67,customers!$A:$A,customers!$C:$C,,0)=0,"",_xlfn.XLOOKUP(C67,customers!$A:$A,customers!$C:$C,,0))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1">L67*E67</f>
        <v>82.339999999999989</v>
      </c>
      <c r="N67" t="s">
        <v>6197</v>
      </c>
      <c r="O67" t="str" cm="1">
        <f t="array" ref="O67">_xlfn.IFS(J67="M","Medium", J67="L","Light", J67="D","Dark")</f>
        <v>Dark</v>
      </c>
      <c r="P67" t="str">
        <f>_xlfn.XLOOKUP(orders!$C$2:$C$1001,customers!$A$2:$A$1001,customers!$I$2:$I$1001,,0)</f>
        <v>Yes</v>
      </c>
    </row>
    <row r="68" spans="1:16" x14ac:dyDescent="0.3">
      <c r="A68" s="2" t="s">
        <v>860</v>
      </c>
      <c r="B68" s="3">
        <v>44666</v>
      </c>
      <c r="C68" s="2" t="s">
        <v>861</v>
      </c>
      <c r="D68" t="s">
        <v>6173</v>
      </c>
      <c r="E68" s="2">
        <v>1</v>
      </c>
      <c r="F68" s="2" t="str">
        <f>_xlfn.XLOOKUP(C68,customers!$A$1:$A$1001,customers!$B$1:$B$1001,,0)</f>
        <v>Belvia Umpleby</v>
      </c>
      <c r="G68" s="2" t="str">
        <f>IF(_xlfn.XLOOKUP(C68,customers!$A:$A,customers!$C:$C,,0)=0,"",_xlfn.XLOOKUP(C68,customers!$A:$A,customers!$C:$C,,0))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1"/>
        <v>7.169999999999999</v>
      </c>
      <c r="N68" t="s">
        <v>6197</v>
      </c>
      <c r="O68" t="str" cm="1">
        <f t="array" ref="O68">_xlfn.IFS(J68="M","Medium", J68="L","Light", J68="D","Dark")</f>
        <v>Light</v>
      </c>
      <c r="P68" t="str">
        <f>_xlfn.XLOOKUP(orders!$C$2:$C$1001,customers!$A$2:$A$1001,customers!$I$2:$I$1001,,0)</f>
        <v>Yes</v>
      </c>
    </row>
    <row r="69" spans="1:16" x14ac:dyDescent="0.3">
      <c r="A69" s="2" t="s">
        <v>866</v>
      </c>
      <c r="B69" s="3">
        <v>44519</v>
      </c>
      <c r="C69" s="2" t="s">
        <v>867</v>
      </c>
      <c r="D69" t="s">
        <v>6145</v>
      </c>
      <c r="E69" s="2">
        <v>2</v>
      </c>
      <c r="F69" s="2" t="str">
        <f>_xlfn.XLOOKUP(C69,customers!$A$1:$A$1001,customers!$B$1:$B$1001,,0)</f>
        <v>Nat Saleway</v>
      </c>
      <c r="G69" s="2" t="str">
        <f>IF(_xlfn.XLOOKUP(C69,customers!$A:$A,customers!$C:$C,,0)=0,"",_xlfn.XLOOKUP(C69,customers!$A:$A,customers!$C:$C,,0))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1"/>
        <v>9.51</v>
      </c>
      <c r="N69" t="s">
        <v>6200</v>
      </c>
      <c r="O69" t="str" cm="1">
        <f t="array" ref="O69">_xlfn.IFS(J69="M","Medium", J69="L","Light", J69="D","Dark")</f>
        <v>Light</v>
      </c>
      <c r="P69" t="str">
        <f>_xlfn.XLOOKUP(orders!$C$2:$C$1001,customers!$A$2:$A$1001,customers!$I$2:$I$1001,,0)</f>
        <v>No</v>
      </c>
    </row>
    <row r="70" spans="1:16" x14ac:dyDescent="0.3">
      <c r="A70" s="2" t="s">
        <v>872</v>
      </c>
      <c r="B70" s="3">
        <v>43754</v>
      </c>
      <c r="C70" s="2" t="s">
        <v>873</v>
      </c>
      <c r="D70" t="s">
        <v>6174</v>
      </c>
      <c r="E70" s="2">
        <v>1</v>
      </c>
      <c r="F70" s="2" t="str">
        <f>_xlfn.XLOOKUP(C70,customers!$A$1:$A$1001,customers!$B$1:$B$1001,,0)</f>
        <v>Hayward Goulter</v>
      </c>
      <c r="G70" s="2" t="str">
        <f>IF(_xlfn.XLOOKUP(C70,customers!$A:$A,customers!$C:$C,,0)=0,"",_xlfn.XLOOKUP(C70,customers!$A:$A,customers!$C:$C,,0))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1"/>
        <v>2.9849999999999999</v>
      </c>
      <c r="N70" t="s">
        <v>6197</v>
      </c>
      <c r="O70" t="str" cm="1">
        <f t="array" ref="O70">_xlfn.IFS(J70="M","Medium", J70="L","Light", J70="D","Dark")</f>
        <v>Medium</v>
      </c>
      <c r="P70" t="str">
        <f>_xlfn.XLOOKUP(orders!$C$2:$C$1001,customers!$A$2:$A$1001,customers!$I$2:$I$1001,,0)</f>
        <v>No</v>
      </c>
    </row>
    <row r="71" spans="1:16" x14ac:dyDescent="0.3">
      <c r="A71" s="2" t="s">
        <v>878</v>
      </c>
      <c r="B71" s="3">
        <v>43795</v>
      </c>
      <c r="C71" s="2" t="s">
        <v>879</v>
      </c>
      <c r="D71" t="s">
        <v>6138</v>
      </c>
      <c r="E71" s="2">
        <v>6</v>
      </c>
      <c r="F71" s="2" t="str">
        <f>_xlfn.XLOOKUP(C71,customers!$A$1:$A$1001,customers!$B$1:$B$1001,,0)</f>
        <v>Gay Rizzello</v>
      </c>
      <c r="G71" s="2" t="str">
        <f>IF(_xlfn.XLOOKUP(C71,customers!$A:$A,customers!$C:$C,,0)=0,"",_xlfn.XLOOKUP(C71,customers!$A:$A,customers!$C:$C,,0))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1"/>
        <v>59.699999999999996</v>
      </c>
      <c r="N71" t="s">
        <v>6197</v>
      </c>
      <c r="O71" t="str" cm="1">
        <f t="array" ref="O71">_xlfn.IFS(J71="M","Medium", J71="L","Light", J71="D","Dark")</f>
        <v>Medium</v>
      </c>
      <c r="P71" t="str">
        <f>_xlfn.XLOOKUP(orders!$C$2:$C$1001,customers!$A$2:$A$1001,customers!$I$2:$I$1001,,0)</f>
        <v>Yes</v>
      </c>
    </row>
    <row r="72" spans="1:16" x14ac:dyDescent="0.3">
      <c r="A72" s="2" t="s">
        <v>885</v>
      </c>
      <c r="B72" s="3">
        <v>43646</v>
      </c>
      <c r="C72" s="2" t="s">
        <v>886</v>
      </c>
      <c r="D72" t="s">
        <v>6148</v>
      </c>
      <c r="E72" s="2">
        <v>4</v>
      </c>
      <c r="F72" s="2" t="str">
        <f>_xlfn.XLOOKUP(C72,customers!$A$1:$A$1001,customers!$B$1:$B$1001,,0)</f>
        <v>Shannon List</v>
      </c>
      <c r="G72" s="2" t="str">
        <f>IF(_xlfn.XLOOKUP(C72,customers!$A:$A,customers!$C:$C,,0)=0,"",_xlfn.XLOOKUP(C72,customers!$A:$A,customers!$C:$C,,0))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1"/>
        <v>136.61999999999998</v>
      </c>
      <c r="N72" t="s">
        <v>6198</v>
      </c>
      <c r="O72" t="str" cm="1">
        <f t="array" ref="O72">_xlfn.IFS(J72="M","Medium", J72="L","Light", J72="D","Dark")</f>
        <v>Light</v>
      </c>
      <c r="P72" t="str">
        <f>_xlfn.XLOOKUP(orders!$C$2:$C$1001,customers!$A$2:$A$1001,customers!$I$2:$I$1001,,0)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IF(_xlfn.XLOOKUP(C73,customers!$A:$A,customers!$C:$C,,0)=0,"",_xlfn.XLOOKUP(C73,customers!$A:$A,customers!$C:$C,,0))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1"/>
        <v>9.51</v>
      </c>
      <c r="N73" t="s">
        <v>6200</v>
      </c>
      <c r="O73" t="str" cm="1">
        <f t="array" ref="O73">_xlfn.IFS(J73="M","Medium", J73="L","Light", J73="D","Dark")</f>
        <v>Light</v>
      </c>
      <c r="P73" t="str">
        <f>_xlfn.XLOOKUP(orders!$C$2:$C$1001,customers!$A$2:$A$1001,customers!$I$2:$I$1001,,0)</f>
        <v>No</v>
      </c>
    </row>
    <row r="74" spans="1:16" x14ac:dyDescent="0.3">
      <c r="A74" s="2" t="s">
        <v>897</v>
      </c>
      <c r="B74" s="3">
        <v>44131</v>
      </c>
      <c r="C74" s="2" t="s">
        <v>898</v>
      </c>
      <c r="D74" t="s">
        <v>6175</v>
      </c>
      <c r="E74" s="2">
        <v>3</v>
      </c>
      <c r="F74" s="2" t="str">
        <f>_xlfn.XLOOKUP(C74,customers!$A$1:$A$1001,customers!$B$1:$B$1001,,0)</f>
        <v>Aurlie McCarl</v>
      </c>
      <c r="G74" s="2" t="str">
        <f>IF(_xlfn.XLOOKUP(C74,customers!$A:$A,customers!$C:$C,,0)=0,"",_xlfn.XLOOKUP(C74,customers!$A:$A,customers!$C:$C,,0))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1"/>
        <v>77.624999999999986</v>
      </c>
      <c r="N74" t="s">
        <v>6199</v>
      </c>
      <c r="O74" t="str" cm="1">
        <f t="array" ref="O74">_xlfn.IFS(J74="M","Medium", J74="L","Light", J74="D","Dark")</f>
        <v>Medium</v>
      </c>
      <c r="P74" t="str">
        <f>_xlfn.XLOOKUP(orders!$C$2:$C$1001,customers!$A$2:$A$1001,customers!$I$2:$I$1001,,0)</f>
        <v>No</v>
      </c>
    </row>
    <row r="75" spans="1:16" x14ac:dyDescent="0.3">
      <c r="A75" s="2" t="s">
        <v>902</v>
      </c>
      <c r="B75" s="3">
        <v>44362</v>
      </c>
      <c r="C75" s="2" t="s">
        <v>903</v>
      </c>
      <c r="D75" t="s">
        <v>6159</v>
      </c>
      <c r="E75" s="2">
        <v>5</v>
      </c>
      <c r="F75" s="2" t="str">
        <f>_xlfn.XLOOKUP(C75,customers!$A$1:$A$1001,customers!$B$1:$B$1001,,0)</f>
        <v>Alikee Carryer</v>
      </c>
      <c r="G75" s="2" t="str">
        <f>IF(_xlfn.XLOOKUP(C75,customers!$A:$A,customers!$C:$C,,0)=0,"",_xlfn.XLOOKUP(C75,customers!$A:$A,customers!$C:$C,,0))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1"/>
        <v>21.825000000000003</v>
      </c>
      <c r="N75" t="s">
        <v>6200</v>
      </c>
      <c r="O75" t="str" cm="1">
        <f t="array" ref="O75">_xlfn.IFS(J75="M","Medium", J75="L","Light", J75="D","Dark")</f>
        <v>Medium</v>
      </c>
      <c r="P75" t="str">
        <f>_xlfn.XLOOKUP(orders!$C$2:$C$1001,customers!$A$2:$A$1001,customers!$I$2:$I$1001,,0)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IF(_xlfn.XLOOKUP(C76,customers!$A:$A,customers!$C:$C,,0)=0,"",_xlfn.XLOOKUP(C76,customers!$A:$A,customers!$C:$C,,0))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1"/>
        <v>17.82</v>
      </c>
      <c r="N76" t="s">
        <v>6198</v>
      </c>
      <c r="O76" t="str" cm="1">
        <f t="array" ref="O76">_xlfn.IFS(J76="M","Medium", J76="L","Light", J76="D","Dark")</f>
        <v>Light</v>
      </c>
      <c r="P76" t="str">
        <f>_xlfn.XLOOKUP(orders!$C$2:$C$1001,customers!$A$2:$A$1001,customers!$I$2:$I$1001,,0)</f>
        <v>Yes</v>
      </c>
    </row>
    <row r="77" spans="1:16" x14ac:dyDescent="0.3">
      <c r="A77" s="2" t="s">
        <v>913</v>
      </c>
      <c r="B77" s="3">
        <v>44400</v>
      </c>
      <c r="C77" s="2" t="s">
        <v>914</v>
      </c>
      <c r="D77" t="s">
        <v>6177</v>
      </c>
      <c r="E77" s="2">
        <v>6</v>
      </c>
      <c r="F77" s="2" t="str">
        <f>_xlfn.XLOOKUP(C77,customers!$A$1:$A$1001,customers!$B$1:$B$1001,,0)</f>
        <v>Kipper Boorn</v>
      </c>
      <c r="G77" s="2" t="str">
        <f>IF(_xlfn.XLOOKUP(C77,customers!$A:$A,customers!$C:$C,,0)=0,"",_xlfn.XLOOKUP(C77,customers!$A:$A,customers!$C:$C,,0))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1"/>
        <v>53.699999999999996</v>
      </c>
      <c r="N77" t="s">
        <v>6197</v>
      </c>
      <c r="O77" t="str" cm="1">
        <f t="array" ref="O77">_xlfn.IFS(J77="M","Medium", J77="L","Light", J77="D","Dark")</f>
        <v>Dark</v>
      </c>
      <c r="P77" t="str">
        <f>_xlfn.XLOOKUP(orders!$C$2:$C$1001,customers!$A$2:$A$1001,customers!$I$2:$I$1001,,0)</f>
        <v>Yes</v>
      </c>
    </row>
    <row r="78" spans="1:16" x14ac:dyDescent="0.3">
      <c r="A78" s="2" t="s">
        <v>919</v>
      </c>
      <c r="B78" s="3">
        <v>43855</v>
      </c>
      <c r="C78" s="2" t="s">
        <v>920</v>
      </c>
      <c r="D78" t="s">
        <v>6178</v>
      </c>
      <c r="E78" s="2">
        <v>1</v>
      </c>
      <c r="F78" s="2" t="str">
        <f>_xlfn.XLOOKUP(C78,customers!$A$1:$A$1001,customers!$B$1:$B$1001,,0)</f>
        <v>Melania Beadle</v>
      </c>
      <c r="G78" s="2" t="str">
        <f>IF(_xlfn.XLOOKUP(C78,customers!$A:$A,customers!$C:$C,,0)=0,"",_xlfn.XLOOKUP(C78,customers!$A:$A,customers!$C:$C,,0))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1"/>
        <v>3.5849999999999995</v>
      </c>
      <c r="N78" t="s">
        <v>6197</v>
      </c>
      <c r="O78" t="str" cm="1">
        <f t="array" ref="O78">_xlfn.IFS(J78="M","Medium", J78="L","Light", J78="D","Dark")</f>
        <v>Light</v>
      </c>
      <c r="P78" t="str">
        <f>_xlfn.XLOOKUP(orders!$C$2:$C$1001,customers!$A$2:$A$1001,customers!$I$2:$I$1001,,0)</f>
        <v>Yes</v>
      </c>
    </row>
    <row r="79" spans="1:16" x14ac:dyDescent="0.3">
      <c r="A79" s="2" t="s">
        <v>924</v>
      </c>
      <c r="B79" s="3">
        <v>43594</v>
      </c>
      <c r="C79" s="2" t="s">
        <v>925</v>
      </c>
      <c r="D79" t="s">
        <v>6153</v>
      </c>
      <c r="E79" s="2">
        <v>2</v>
      </c>
      <c r="F79" s="2" t="str">
        <f>_xlfn.XLOOKUP(C79,customers!$A$1:$A$1001,customers!$B$1:$B$1001,,0)</f>
        <v>Colene Elgey</v>
      </c>
      <c r="G79" s="2" t="str">
        <f>IF(_xlfn.XLOOKUP(C79,customers!$A:$A,customers!$C:$C,,0)=0,"",_xlfn.XLOOKUP(C79,customers!$A:$A,customers!$C:$C,,0))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1"/>
        <v>7.29</v>
      </c>
      <c r="N79" t="s">
        <v>6198</v>
      </c>
      <c r="O79" t="str" cm="1">
        <f t="array" ref="O79">_xlfn.IFS(J79="M","Medium", J79="L","Light", J79="D","Dark")</f>
        <v>Dark</v>
      </c>
      <c r="P79" t="str">
        <f>_xlfn.XLOOKUP(orders!$C$2:$C$1001,customers!$A$2:$A$1001,customers!$I$2:$I$1001,,0)</f>
        <v>No</v>
      </c>
    </row>
    <row r="80" spans="1:16" x14ac:dyDescent="0.3">
      <c r="A80" s="2" t="s">
        <v>930</v>
      </c>
      <c r="B80" s="3">
        <v>43920</v>
      </c>
      <c r="C80" s="2" t="s">
        <v>931</v>
      </c>
      <c r="D80" t="s">
        <v>6157</v>
      </c>
      <c r="E80" s="2">
        <v>6</v>
      </c>
      <c r="F80" s="2" t="str">
        <f>_xlfn.XLOOKUP(C80,customers!$A$1:$A$1001,customers!$B$1:$B$1001,,0)</f>
        <v>Lothaire Mizzi</v>
      </c>
      <c r="G80" s="2" t="str">
        <f>IF(_xlfn.XLOOKUP(C80,customers!$A:$A,customers!$C:$C,,0)=0,"",_xlfn.XLOOKUP(C80,customers!$A:$A,customers!$C:$C,,0))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1"/>
        <v>40.5</v>
      </c>
      <c r="N80" t="s">
        <v>6199</v>
      </c>
      <c r="O80" t="str" cm="1">
        <f t="array" ref="O80">_xlfn.IFS(J80="M","Medium", J80="L","Light", J80="D","Dark")</f>
        <v>Medium</v>
      </c>
      <c r="P80" t="str">
        <f>_xlfn.XLOOKUP(orders!$C$2:$C$1001,customers!$A$2:$A$1001,customers!$I$2:$I$1001,,0)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IF(_xlfn.XLOOKUP(C81,customers!$A:$A,customers!$C:$C,,0)=0,"",_xlfn.XLOOKUP(C81,customers!$A:$A,customers!$C:$C,,0))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1"/>
        <v>47.8</v>
      </c>
      <c r="N81" t="s">
        <v>6197</v>
      </c>
      <c r="O81" t="str" cm="1">
        <f t="array" ref="O81">_xlfn.IFS(J81="M","Medium", J81="L","Light", J81="D","Dark")</f>
        <v>Light</v>
      </c>
      <c r="P81" t="str">
        <f>_xlfn.XLOOKUP(orders!$C$2:$C$1001,customers!$A$2:$A$1001,customers!$I$2:$I$1001,,0)</f>
        <v>No</v>
      </c>
    </row>
    <row r="82" spans="1:16" x14ac:dyDescent="0.3">
      <c r="A82" s="2" t="s">
        <v>942</v>
      </c>
      <c r="B82" s="3">
        <v>43572</v>
      </c>
      <c r="C82" s="2" t="s">
        <v>943</v>
      </c>
      <c r="D82" t="s">
        <v>6180</v>
      </c>
      <c r="E82" s="2">
        <v>5</v>
      </c>
      <c r="F82" s="2" t="str">
        <f>_xlfn.XLOOKUP(C82,customers!$A$1:$A$1001,customers!$B$1:$B$1001,,0)</f>
        <v>Ami Arnow</v>
      </c>
      <c r="G82" s="2" t="str">
        <f>IF(_xlfn.XLOOKUP(C82,customers!$A:$A,customers!$C:$C,,0)=0,"",_xlfn.XLOOKUP(C82,customers!$A:$A,customers!$C:$C,,0))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1"/>
        <v>38.849999999999994</v>
      </c>
      <c r="N82" t="s">
        <v>6199</v>
      </c>
      <c r="O82" t="str" cm="1">
        <f t="array" ref="O82">_xlfn.IFS(J82="M","Medium", J82="L","Light", J82="D","Dark")</f>
        <v>Light</v>
      </c>
      <c r="P82" t="str">
        <f>_xlfn.XLOOKUP(orders!$C$2:$C$1001,customers!$A$2:$A$1001,customers!$I$2:$I$1001,,0)</f>
        <v>Yes</v>
      </c>
    </row>
    <row r="83" spans="1:16" x14ac:dyDescent="0.3">
      <c r="A83" s="2" t="s">
        <v>948</v>
      </c>
      <c r="B83" s="3">
        <v>43763</v>
      </c>
      <c r="C83" s="2" t="s">
        <v>949</v>
      </c>
      <c r="D83" t="s">
        <v>6164</v>
      </c>
      <c r="E83" s="2">
        <v>3</v>
      </c>
      <c r="F83" s="2" t="str">
        <f>_xlfn.XLOOKUP(C83,customers!$A$1:$A$1001,customers!$B$1:$B$1001,,0)</f>
        <v>Sheppard Yann</v>
      </c>
      <c r="G83" s="2" t="str">
        <f>IF(_xlfn.XLOOKUP(C83,customers!$A:$A,customers!$C:$C,,0)=0,"",_xlfn.XLOOKUP(C83,customers!$A:$A,customers!$C:$C,,0))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1"/>
        <v>109.36499999999999</v>
      </c>
      <c r="N83" t="s">
        <v>6200</v>
      </c>
      <c r="O83" t="str" cm="1">
        <f t="array" ref="O83">_xlfn.IFS(J83="M","Medium", J83="L","Light", J83="D","Dark")</f>
        <v>Light</v>
      </c>
      <c r="P83" t="str">
        <f>_xlfn.XLOOKUP(orders!$C$2:$C$1001,customers!$A$2:$A$1001,customers!$I$2:$I$1001,,0)</f>
        <v>Yes</v>
      </c>
    </row>
    <row r="84" spans="1:16" x14ac:dyDescent="0.3">
      <c r="A84" s="2" t="s">
        <v>954</v>
      </c>
      <c r="B84" s="3">
        <v>43721</v>
      </c>
      <c r="C84" s="2" t="s">
        <v>955</v>
      </c>
      <c r="D84" t="s">
        <v>6181</v>
      </c>
      <c r="E84" s="2">
        <v>3</v>
      </c>
      <c r="F84" s="2" t="str">
        <f>_xlfn.XLOOKUP(C84,customers!$A$1:$A$1001,customers!$B$1:$B$1001,,0)</f>
        <v>Bunny Naulls</v>
      </c>
      <c r="G84" s="2" t="str">
        <f>IF(_xlfn.XLOOKUP(C84,customers!$A:$A,customers!$C:$C,,0)=0,"",_xlfn.XLOOKUP(C84,customers!$A:$A,customers!$C:$C,,0))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1"/>
        <v>100.39499999999998</v>
      </c>
      <c r="N84" t="s">
        <v>6200</v>
      </c>
      <c r="O84" t="str" cm="1">
        <f t="array" ref="O84">_xlfn.IFS(J84="M","Medium", J84="L","Light", J84="D","Dark")</f>
        <v>Medium</v>
      </c>
      <c r="P84" t="str">
        <f>_xlfn.XLOOKUP(orders!$C$2:$C$1001,customers!$A$2:$A$1001,customers!$I$2:$I$1001,,0)</f>
        <v>Yes</v>
      </c>
    </row>
    <row r="85" spans="1:16" x14ac:dyDescent="0.3">
      <c r="A85" s="2" t="s">
        <v>960</v>
      </c>
      <c r="B85" s="3">
        <v>43933</v>
      </c>
      <c r="C85" s="2" t="s">
        <v>961</v>
      </c>
      <c r="D85" t="s">
        <v>6149</v>
      </c>
      <c r="E85" s="2">
        <v>4</v>
      </c>
      <c r="F85" s="2" t="str">
        <f>_xlfn.XLOOKUP(C85,customers!$A$1:$A$1001,customers!$B$1:$B$1001,,0)</f>
        <v>Hally Lorait</v>
      </c>
      <c r="G85" s="2" t="str">
        <f>IF(_xlfn.XLOOKUP(C85,customers!$A:$A,customers!$C:$C,,0)=0,"",_xlfn.XLOOKUP(C85,customers!$A:$A,customers!$C:$C,,0))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1"/>
        <v>82.339999999999989</v>
      </c>
      <c r="N85" t="s">
        <v>6197</v>
      </c>
      <c r="O85" t="str" cm="1">
        <f t="array" ref="O85">_xlfn.IFS(J85="M","Medium", J85="L","Light", J85="D","Dark")</f>
        <v>Dark</v>
      </c>
      <c r="P85" t="str">
        <f>_xlfn.XLOOKUP(orders!$C$2:$C$1001,customers!$A$2:$A$1001,customers!$I$2:$I$1001,,0)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IF(_xlfn.XLOOKUP(C86,customers!$A:$A,customers!$C:$C,,0)=0,"",_xlfn.XLOOKUP(C86,customers!$A:$A,customers!$C:$C,,0))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1"/>
        <v>9.51</v>
      </c>
      <c r="N86" t="s">
        <v>6200</v>
      </c>
      <c r="O86" t="str" cm="1">
        <f t="array" ref="O86">_xlfn.IFS(J86="M","Medium", J86="L","Light", J86="D","Dark")</f>
        <v>Light</v>
      </c>
      <c r="P86" t="str">
        <f>_xlfn.XLOOKUP(orders!$C$2:$C$1001,customers!$A$2:$A$1001,customers!$I$2:$I$1001,,0)</f>
        <v>No</v>
      </c>
    </row>
    <row r="87" spans="1:16" x14ac:dyDescent="0.3">
      <c r="A87" s="2" t="s">
        <v>971</v>
      </c>
      <c r="B87" s="3">
        <v>43664</v>
      </c>
      <c r="C87" s="2" t="s">
        <v>972</v>
      </c>
      <c r="D87" t="s">
        <v>6182</v>
      </c>
      <c r="E87" s="2">
        <v>3</v>
      </c>
      <c r="F87" s="2" t="str">
        <f>_xlfn.XLOOKUP(C87,customers!$A$1:$A$1001,customers!$B$1:$B$1001,,0)</f>
        <v>Jeffrey Dufaire</v>
      </c>
      <c r="G87" s="2" t="str">
        <f>IF(_xlfn.XLOOKUP(C87,customers!$A:$A,customers!$C:$C,,0)=0,"",_xlfn.XLOOKUP(C87,customers!$A:$A,customers!$C:$C,,0))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1"/>
        <v>89.35499999999999</v>
      </c>
      <c r="N87" t="s">
        <v>6199</v>
      </c>
      <c r="O87" t="str" cm="1">
        <f t="array" ref="O87">_xlfn.IFS(J87="M","Medium", J87="L","Light", J87="D","Dark")</f>
        <v>Light</v>
      </c>
      <c r="P87" t="str">
        <f>_xlfn.XLOOKUP(orders!$C$2:$C$1001,customers!$A$2:$A$1001,customers!$I$2:$I$1001,,0)</f>
        <v>No</v>
      </c>
    </row>
    <row r="88" spans="1:16" x14ac:dyDescent="0.3">
      <c r="A88" s="2" t="s">
        <v>971</v>
      </c>
      <c r="B88" s="3">
        <v>43664</v>
      </c>
      <c r="C88" s="2" t="s">
        <v>972</v>
      </c>
      <c r="D88" t="s">
        <v>6154</v>
      </c>
      <c r="E88" s="2">
        <v>4</v>
      </c>
      <c r="F88" s="2" t="str">
        <f>_xlfn.XLOOKUP(C88,customers!$A$1:$A$1001,customers!$B$1:$B$1001,,0)</f>
        <v>Jeffrey Dufaire</v>
      </c>
      <c r="G88" s="2" t="str">
        <f>IF(_xlfn.XLOOKUP(C88,customers!$A:$A,customers!$C:$C,,0)=0,"",_xlfn.XLOOKUP(C88,customers!$A:$A,customers!$C:$C,,0))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1"/>
        <v>11.94</v>
      </c>
      <c r="N88" t="s">
        <v>6199</v>
      </c>
      <c r="O88" t="str" cm="1">
        <f t="array" ref="O88">_xlfn.IFS(J88="M","Medium", J88="L","Light", J88="D","Dark")</f>
        <v>Dark</v>
      </c>
      <c r="P88" t="str">
        <f>_xlfn.XLOOKUP(orders!$C$2:$C$1001,customers!$A$2:$A$1001,customers!$I$2:$I$1001,,0)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IF(_xlfn.XLOOKUP(C89,customers!$A:$A,customers!$C:$C,,0)=0,"",_xlfn.XLOOKUP(C89,customers!$A:$A,customers!$C:$C,,0))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1"/>
        <v>33.75</v>
      </c>
      <c r="N89" t="s">
        <v>6199</v>
      </c>
      <c r="O89" t="str" cm="1">
        <f t="array" ref="O89">_xlfn.IFS(J89="M","Medium", J89="L","Light", J89="D","Dark")</f>
        <v>Medium</v>
      </c>
      <c r="P89" t="str">
        <f>_xlfn.XLOOKUP(orders!$C$2:$C$1001,customers!$A$2:$A$1001,customers!$I$2:$I$1001,,0)</f>
        <v>No</v>
      </c>
    </row>
    <row r="90" spans="1:16" x14ac:dyDescent="0.3">
      <c r="A90" s="2" t="s">
        <v>985</v>
      </c>
      <c r="B90" s="3">
        <v>44284</v>
      </c>
      <c r="C90" s="2" t="s">
        <v>986</v>
      </c>
      <c r="D90" t="s">
        <v>6179</v>
      </c>
      <c r="E90" s="2">
        <v>3</v>
      </c>
      <c r="F90" s="2" t="str">
        <f>_xlfn.XLOOKUP(C90,customers!$A$1:$A$1001,customers!$B$1:$B$1001,,0)</f>
        <v>Elna Grise</v>
      </c>
      <c r="G90" s="2" t="str">
        <f>IF(_xlfn.XLOOKUP(C90,customers!$A:$A,customers!$C:$C,,0)=0,"",_xlfn.XLOOKUP(C90,customers!$A:$A,customers!$C:$C,,0))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1"/>
        <v>35.849999999999994</v>
      </c>
      <c r="N90" t="s">
        <v>6197</v>
      </c>
      <c r="O90" t="str" cm="1">
        <f t="array" ref="O90">_xlfn.IFS(J90="M","Medium", J90="L","Light", J90="D","Dark")</f>
        <v>Light</v>
      </c>
      <c r="P90" t="str">
        <f>_xlfn.XLOOKUP(orders!$C$2:$C$1001,customers!$A$2:$A$1001,customers!$I$2:$I$1001,,0)</f>
        <v>No</v>
      </c>
    </row>
    <row r="91" spans="1:16" x14ac:dyDescent="0.3">
      <c r="A91" s="2" t="s">
        <v>990</v>
      </c>
      <c r="B91" s="3">
        <v>44545</v>
      </c>
      <c r="C91" s="2" t="s">
        <v>991</v>
      </c>
      <c r="D91" t="s">
        <v>6140</v>
      </c>
      <c r="E91" s="2">
        <v>6</v>
      </c>
      <c r="F91" s="2" t="str">
        <f>_xlfn.XLOOKUP(C91,customers!$A$1:$A$1001,customers!$B$1:$B$1001,,0)</f>
        <v>Torie Gottelier</v>
      </c>
      <c r="G91" s="2" t="str">
        <f>IF(_xlfn.XLOOKUP(C91,customers!$A:$A,customers!$C:$C,,0)=0,"",_xlfn.XLOOKUP(C91,customers!$A:$A,customers!$C:$C,,0))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1"/>
        <v>77.699999999999989</v>
      </c>
      <c r="N91" t="s">
        <v>6199</v>
      </c>
      <c r="O91" t="str" cm="1">
        <f t="array" ref="O91">_xlfn.IFS(J91="M","Medium", J91="L","Light", J91="D","Dark")</f>
        <v>Light</v>
      </c>
      <c r="P91" t="str">
        <f>_xlfn.XLOOKUP(orders!$C$2:$C$1001,customers!$A$2:$A$1001,customers!$I$2:$I$1001,,0)</f>
        <v>No</v>
      </c>
    </row>
    <row r="92" spans="1:16" x14ac:dyDescent="0.3">
      <c r="A92" s="2" t="s">
        <v>996</v>
      </c>
      <c r="B92" s="3">
        <v>43971</v>
      </c>
      <c r="C92" s="2" t="s">
        <v>997</v>
      </c>
      <c r="D92" t="s">
        <v>6140</v>
      </c>
      <c r="E92" s="2">
        <v>4</v>
      </c>
      <c r="F92" s="2" t="str">
        <f>_xlfn.XLOOKUP(C92,customers!$A$1:$A$1001,customers!$B$1:$B$1001,,0)</f>
        <v>Loydie Langlais</v>
      </c>
      <c r="G92" s="2" t="str">
        <f>IF(_xlfn.XLOOKUP(C92,customers!$A:$A,customers!$C:$C,,0)=0,"",_xlfn.XLOOKUP(C92,customers!$A:$A,customers!$C:$C,,0))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1"/>
        <v>51.8</v>
      </c>
      <c r="N92" t="s">
        <v>6199</v>
      </c>
      <c r="O92" t="str" cm="1">
        <f t="array" ref="O92">_xlfn.IFS(J92="M","Medium", J92="L","Light", J92="D","Dark")</f>
        <v>Light</v>
      </c>
      <c r="P92" t="str">
        <f>_xlfn.XLOOKUP(orders!$C$2:$C$1001,customers!$A$2:$A$1001,customers!$I$2:$I$1001,,0)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IF(_xlfn.XLOOKUP(C93,customers!$A:$A,customers!$C:$C,,0)=0,"",_xlfn.XLOOKUP(C93,customers!$A:$A,customers!$C:$C,,0))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1"/>
        <v>103.49999999999999</v>
      </c>
      <c r="N93" t="s">
        <v>6199</v>
      </c>
      <c r="O93" t="str" cm="1">
        <f t="array" ref="O93">_xlfn.IFS(J93="M","Medium", J93="L","Light", J93="D","Dark")</f>
        <v>Medium</v>
      </c>
      <c r="P93" t="str">
        <f>_xlfn.XLOOKUP(orders!$C$2:$C$1001,customers!$A$2:$A$1001,customers!$I$2:$I$1001,,0)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IF(_xlfn.XLOOKUP(C94,customers!$A:$A,customers!$C:$C,,0)=0,"",_xlfn.XLOOKUP(C94,customers!$A:$A,customers!$C:$C,,0))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1"/>
        <v>44.55</v>
      </c>
      <c r="N94" t="s">
        <v>6198</v>
      </c>
      <c r="O94" t="str" cm="1">
        <f t="array" ref="O94">_xlfn.IFS(J94="M","Medium", J94="L","Light", J94="D","Dark")</f>
        <v>Light</v>
      </c>
      <c r="P94" t="str">
        <f>_xlfn.XLOOKUP(orders!$C$2:$C$1001,customers!$A$2:$A$1001,customers!$I$2:$I$1001,,0)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IF(_xlfn.XLOOKUP(C95,customers!$A:$A,customers!$C:$C,,0)=0,"",_xlfn.XLOOKUP(C95,customers!$A:$A,customers!$C:$C,,0))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1"/>
        <v>35.64</v>
      </c>
      <c r="N95" t="s">
        <v>6198</v>
      </c>
      <c r="O95" t="str" cm="1">
        <f t="array" ref="O95">_xlfn.IFS(J95="M","Medium", J95="L","Light", J95="D","Dark")</f>
        <v>Light</v>
      </c>
      <c r="P95" t="str">
        <f>_xlfn.XLOOKUP(orders!$C$2:$C$1001,customers!$A$2:$A$1001,customers!$I$2:$I$1001,,0)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IF(_xlfn.XLOOKUP(C96,customers!$A:$A,customers!$C:$C,,0)=0,"",_xlfn.XLOOKUP(C96,customers!$A:$A,customers!$C:$C,,0))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1"/>
        <v>17.91</v>
      </c>
      <c r="N96" t="s">
        <v>6199</v>
      </c>
      <c r="O96" t="str" cm="1">
        <f t="array" ref="O96">_xlfn.IFS(J96="M","Medium", J96="L","Light", J96="D","Dark")</f>
        <v>Dark</v>
      </c>
      <c r="P96" t="str">
        <f>_xlfn.XLOOKUP(orders!$C$2:$C$1001,customers!$A$2:$A$1001,customers!$I$2:$I$1001,,0)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IF(_xlfn.XLOOKUP(C97,customers!$A:$A,customers!$C:$C,,0)=0,"",_xlfn.XLOOKUP(C97,customers!$A:$A,customers!$C:$C,,0))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1"/>
        <v>155.24999999999997</v>
      </c>
      <c r="N97" t="s">
        <v>6199</v>
      </c>
      <c r="O97" t="str" cm="1">
        <f t="array" ref="O97">_xlfn.IFS(J97="M","Medium", J97="L","Light", J97="D","Dark")</f>
        <v>Medium</v>
      </c>
      <c r="P97" t="str">
        <f>_xlfn.XLOOKUP(orders!$C$2:$C$1001,customers!$A$2:$A$1001,customers!$I$2:$I$1001,,0)</f>
        <v>No</v>
      </c>
    </row>
    <row r="98" spans="1:16" x14ac:dyDescent="0.3">
      <c r="A98" s="2" t="s">
        <v>1027</v>
      </c>
      <c r="B98" s="3">
        <v>44171</v>
      </c>
      <c r="C98" s="2" t="s">
        <v>1028</v>
      </c>
      <c r="D98" t="s">
        <v>6154</v>
      </c>
      <c r="E98" s="2">
        <v>2</v>
      </c>
      <c r="F98" s="2" t="str">
        <f>_xlfn.XLOOKUP(C98,customers!$A$1:$A$1001,customers!$B$1:$B$1001,,0)</f>
        <v>Vicki Kirdsch</v>
      </c>
      <c r="G98" s="2" t="str">
        <f>IF(_xlfn.XLOOKUP(C98,customers!$A:$A,customers!$C:$C,,0)=0,"",_xlfn.XLOOKUP(C98,customers!$A:$A,customers!$C:$C,,0))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1"/>
        <v>5.97</v>
      </c>
      <c r="N98" t="s">
        <v>6199</v>
      </c>
      <c r="O98" t="str" cm="1">
        <f t="array" ref="O98">_xlfn.IFS(J98="M","Medium", J98="L","Light", J98="D","Dark")</f>
        <v>Dark</v>
      </c>
      <c r="P98" t="str">
        <f>_xlfn.XLOOKUP(orders!$C$2:$C$1001,customers!$A$2:$A$1001,customers!$I$2:$I$1001,,0)</f>
        <v>No</v>
      </c>
    </row>
    <row r="99" spans="1:16" x14ac:dyDescent="0.3">
      <c r="A99" s="2" t="s">
        <v>1032</v>
      </c>
      <c r="B99" s="3">
        <v>44259</v>
      </c>
      <c r="C99" s="2" t="s">
        <v>1033</v>
      </c>
      <c r="D99" t="s">
        <v>6157</v>
      </c>
      <c r="E99" s="2">
        <v>2</v>
      </c>
      <c r="F99" s="2" t="str">
        <f>_xlfn.XLOOKUP(C99,customers!$A$1:$A$1001,customers!$B$1:$B$1001,,0)</f>
        <v>Ilysa Whapple</v>
      </c>
      <c r="G99" s="2" t="str">
        <f>IF(_xlfn.XLOOKUP(C99,customers!$A:$A,customers!$C:$C,,0)=0,"",_xlfn.XLOOKUP(C99,customers!$A:$A,customers!$C:$C,,0))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1"/>
        <v>13.5</v>
      </c>
      <c r="N99" t="s">
        <v>6199</v>
      </c>
      <c r="O99" t="str" cm="1">
        <f t="array" ref="O99">_xlfn.IFS(J99="M","Medium", J99="L","Light", J99="D","Dark")</f>
        <v>Medium</v>
      </c>
      <c r="P99" t="str">
        <f>_xlfn.XLOOKUP(orders!$C$2:$C$1001,customers!$A$2:$A$1001,customers!$I$2:$I$1001,,0)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IF(_xlfn.XLOOKUP(C100,customers!$A:$A,customers!$C:$C,,0)=0,"",_xlfn.XLOOKUP(C100,customers!$A:$A,customers!$C:$C,,0))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1"/>
        <v>2.9849999999999999</v>
      </c>
      <c r="N100" t="s">
        <v>6199</v>
      </c>
      <c r="O100" t="str" cm="1">
        <f t="array" ref="O100">_xlfn.IFS(J100="M","Medium", J100="L","Light", J100="D","Dark")</f>
        <v>Dark</v>
      </c>
      <c r="P100" t="str">
        <f>_xlfn.XLOOKUP(orders!$C$2:$C$1001,customers!$A$2:$A$1001,customers!$I$2:$I$1001,,0)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IF(_xlfn.XLOOKUP(C101,customers!$A:$A,customers!$C:$C,,0)=0,"",_xlfn.XLOOKUP(C101,customers!$A:$A,customers!$C:$C,,0))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1"/>
        <v>13.095000000000001</v>
      </c>
      <c r="N101" t="s">
        <v>6200</v>
      </c>
      <c r="O101" t="str" cm="1">
        <f t="array" ref="O101">_xlfn.IFS(J101="M","Medium", J101="L","Light", J101="D","Dark")</f>
        <v>Medium</v>
      </c>
      <c r="P101" t="str">
        <f>_xlfn.XLOOKUP(orders!$C$2:$C$1001,customers!$A$2:$A$1001,customers!$I$2:$I$1001,,0)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IF(_xlfn.XLOOKUP(C102,customers!$A:$A,customers!$C:$C,,0)=0,"",_xlfn.XLOOKUP(C102,customers!$A:$A,customers!$C:$C,,0))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1"/>
        <v>7.77</v>
      </c>
      <c r="N102" t="s">
        <v>6199</v>
      </c>
      <c r="O102" t="str" cm="1">
        <f t="array" ref="O102">_xlfn.IFS(J102="M","Medium", J102="L","Light", J102="D","Dark")</f>
        <v>Light</v>
      </c>
      <c r="P102" t="str">
        <f>_xlfn.XLOOKUP(orders!$C$2:$C$1001,customers!$A$2:$A$1001,customers!$I$2:$I$1001,,0)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IF(_xlfn.XLOOKUP(C103,customers!$A:$A,customers!$C:$C,,0)=0,"",_xlfn.XLOOKUP(C103,customers!$A:$A,customers!$C:$C,,0))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1"/>
        <v>148.92499999999998</v>
      </c>
      <c r="N103" t="s">
        <v>6200</v>
      </c>
      <c r="O103" t="str" cm="1">
        <f t="array" ref="O103">_xlfn.IFS(J103="M","Medium", J103="L","Light", J103="D","Dark")</f>
        <v>Dark</v>
      </c>
      <c r="P103" t="str">
        <f>_xlfn.XLOOKUP(orders!$C$2:$C$1001,customers!$A$2:$A$1001,customers!$I$2:$I$1001,,0)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IF(_xlfn.XLOOKUP(C104,customers!$A:$A,customers!$C:$C,,0)=0,"",_xlfn.XLOOKUP(C104,customers!$A:$A,customers!$C:$C,,0))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1"/>
        <v>38.849999999999994</v>
      </c>
      <c r="N104" t="s">
        <v>6200</v>
      </c>
      <c r="O104" t="str" cm="1">
        <f t="array" ref="O104">_xlfn.IFS(J104="M","Medium", J104="L","Light", J104="D","Dark")</f>
        <v>Dark</v>
      </c>
      <c r="P104" t="str">
        <f>_xlfn.XLOOKUP(orders!$C$2:$C$1001,customers!$A$2:$A$1001,customers!$I$2:$I$1001,,0)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IF(_xlfn.XLOOKUP(C105,customers!$A:$A,customers!$C:$C,,0)=0,"",_xlfn.XLOOKUP(C105,customers!$A:$A,customers!$C:$C,,0))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1"/>
        <v>11.94</v>
      </c>
      <c r="N105" t="s">
        <v>6197</v>
      </c>
      <c r="O105" t="str" cm="1">
        <f t="array" ref="O105">_xlfn.IFS(J105="M","Medium", J105="L","Light", J105="D","Dark")</f>
        <v>Medium</v>
      </c>
      <c r="P105" t="str">
        <f>_xlfn.XLOOKUP(orders!$C$2:$C$1001,customers!$A$2:$A$1001,customers!$I$2:$I$1001,,0)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IF(_xlfn.XLOOKUP(C106,customers!$A:$A,customers!$C:$C,,0)=0,"",_xlfn.XLOOKUP(C106,customers!$A:$A,customers!$C:$C,,0))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1"/>
        <v>87.300000000000011</v>
      </c>
      <c r="N106" t="s">
        <v>6200</v>
      </c>
      <c r="O106" t="str" cm="1">
        <f t="array" ref="O106">_xlfn.IFS(J106="M","Medium", J106="L","Light", J106="D","Dark")</f>
        <v>Medium</v>
      </c>
      <c r="P106" t="str">
        <f>_xlfn.XLOOKUP(orders!$C$2:$C$1001,customers!$A$2:$A$1001,customers!$I$2:$I$1001,,0)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IF(_xlfn.XLOOKUP(C107,customers!$A:$A,customers!$C:$C,,0)=0,"",_xlfn.XLOOKUP(C107,customers!$A:$A,customers!$C:$C,,0))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1"/>
        <v>40.5</v>
      </c>
      <c r="N107" t="s">
        <v>6199</v>
      </c>
      <c r="O107" t="str" cm="1">
        <f t="array" ref="O107">_xlfn.IFS(J107="M","Medium", J107="L","Light", J107="D","Dark")</f>
        <v>Medium</v>
      </c>
      <c r="P107" t="str">
        <f>_xlfn.XLOOKUP(orders!$C$2:$C$1001,customers!$A$2:$A$1001,customers!$I$2:$I$1001,,0)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IF(_xlfn.XLOOKUP(C108,customers!$A:$A,customers!$C:$C,,0)=0,"",_xlfn.XLOOKUP(C108,customers!$A:$A,customers!$C:$C,,0))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1"/>
        <v>24.3</v>
      </c>
      <c r="N108" t="s">
        <v>6198</v>
      </c>
      <c r="O108" t="str" cm="1">
        <f t="array" ref="O108">_xlfn.IFS(J108="M","Medium", J108="L","Light", J108="D","Dark")</f>
        <v>Dark</v>
      </c>
      <c r="P108" t="str">
        <f>_xlfn.XLOOKUP(orders!$C$2:$C$1001,customers!$A$2:$A$1001,customers!$I$2:$I$1001,,0)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IF(_xlfn.XLOOKUP(C109,customers!$A:$A,customers!$C:$C,,0)=0,"",_xlfn.XLOOKUP(C109,customers!$A:$A,customers!$C:$C,,0))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1"/>
        <v>17.91</v>
      </c>
      <c r="N109" t="s">
        <v>6197</v>
      </c>
      <c r="O109" t="str" cm="1">
        <f t="array" ref="O109">_xlfn.IFS(J109="M","Medium", J109="L","Light", J109="D","Dark")</f>
        <v>Medium</v>
      </c>
      <c r="P109" t="str">
        <f>_xlfn.XLOOKUP(orders!$C$2:$C$1001,customers!$A$2:$A$1001,customers!$I$2:$I$1001,,0)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IF(_xlfn.XLOOKUP(C110,customers!$A:$A,customers!$C:$C,,0)=0,"",_xlfn.XLOOKUP(C110,customers!$A:$A,customers!$C:$C,,0))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1"/>
        <v>27</v>
      </c>
      <c r="N110" t="s">
        <v>6199</v>
      </c>
      <c r="O110" t="str" cm="1">
        <f t="array" ref="O110">_xlfn.IFS(J110="M","Medium", J110="L","Light", J110="D","Dark")</f>
        <v>Medium</v>
      </c>
      <c r="P110" t="str">
        <f>_xlfn.XLOOKUP(orders!$C$2:$C$1001,customers!$A$2:$A$1001,customers!$I$2:$I$1001,,0)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IF(_xlfn.XLOOKUP(C111,customers!$A:$A,customers!$C:$C,,0)=0,"",_xlfn.XLOOKUP(C111,customers!$A:$A,customers!$C:$C,,0))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1"/>
        <v>7.77</v>
      </c>
      <c r="N111" t="s">
        <v>6200</v>
      </c>
      <c r="O111" t="str" cm="1">
        <f t="array" ref="O111">_xlfn.IFS(J111="M","Medium", J111="L","Light", J111="D","Dark")</f>
        <v>Dark</v>
      </c>
      <c r="P111" t="str">
        <f>_xlfn.XLOOKUP(orders!$C$2:$C$1001,customers!$A$2:$A$1001,customers!$I$2:$I$1001,,0)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IF(_xlfn.XLOOKUP(C112,customers!$A:$A,customers!$C:$C,,0)=0,"",_xlfn.XLOOKUP(C112,customers!$A:$A,customers!$C:$C,,0))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1"/>
        <v>13.365</v>
      </c>
      <c r="N112" t="s">
        <v>6198</v>
      </c>
      <c r="O112" t="str" cm="1">
        <f t="array" ref="O112">_xlfn.IFS(J112="M","Medium", J112="L","Light", J112="D","Dark")</f>
        <v>Light</v>
      </c>
      <c r="P112" t="str">
        <f>_xlfn.XLOOKUP(orders!$C$2:$C$1001,customers!$A$2:$A$1001,customers!$I$2:$I$1001,,0)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IF(_xlfn.XLOOKUP(C113,customers!$A:$A,customers!$C:$C,,0)=0,"",_xlfn.XLOOKUP(C113,customers!$A:$A,customers!$C:$C,,0))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1"/>
        <v>26.849999999999994</v>
      </c>
      <c r="N113" t="s">
        <v>6197</v>
      </c>
      <c r="O113" t="str" cm="1">
        <f t="array" ref="O113">_xlfn.IFS(J113="M","Medium", J113="L","Light", J113="D","Dark")</f>
        <v>Dark</v>
      </c>
      <c r="P113" t="str">
        <f>_xlfn.XLOOKUP(orders!$C$2:$C$1001,customers!$A$2:$A$1001,customers!$I$2:$I$1001,,0)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IF(_xlfn.XLOOKUP(C114,customers!$A:$A,customers!$C:$C,,0)=0,"",_xlfn.XLOOKUP(C114,customers!$A:$A,customers!$C:$C,,0))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1"/>
        <v>11.25</v>
      </c>
      <c r="N114" t="s">
        <v>6199</v>
      </c>
      <c r="O114" t="str" cm="1">
        <f t="array" ref="O114">_xlfn.IFS(J114="M","Medium", J114="L","Light", J114="D","Dark")</f>
        <v>Medium</v>
      </c>
      <c r="P114" t="str">
        <f>_xlfn.XLOOKUP(orders!$C$2:$C$1001,customers!$A$2:$A$1001,customers!$I$2:$I$1001,,0)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IF(_xlfn.XLOOKUP(C115,customers!$A:$A,customers!$C:$C,,0)=0,"",_xlfn.XLOOKUP(C115,customers!$A:$A,customers!$C:$C,,0))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1"/>
        <v>14.55</v>
      </c>
      <c r="N115" t="s">
        <v>6200</v>
      </c>
      <c r="O115" t="str" cm="1">
        <f t="array" ref="O115">_xlfn.IFS(J115="M","Medium", J115="L","Light", J115="D","Dark")</f>
        <v>Medium</v>
      </c>
      <c r="P115" t="str">
        <f>_xlfn.XLOOKUP(orders!$C$2:$C$1001,customers!$A$2:$A$1001,customers!$I$2:$I$1001,,0)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IF(_xlfn.XLOOKUP(C116,customers!$A:$A,customers!$C:$C,,0)=0,"",_xlfn.XLOOKUP(C116,customers!$A:$A,customers!$C:$C,,0))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1"/>
        <v>14.339999999999998</v>
      </c>
      <c r="N116" t="s">
        <v>6197</v>
      </c>
      <c r="O116" t="str" cm="1">
        <f t="array" ref="O116">_xlfn.IFS(J116="M","Medium", J116="L","Light", J116="D","Dark")</f>
        <v>Light</v>
      </c>
      <c r="P116" t="str">
        <f>_xlfn.XLOOKUP(orders!$C$2:$C$1001,customers!$A$2:$A$1001,customers!$I$2:$I$1001,,0)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IF(_xlfn.XLOOKUP(C117,customers!$A:$A,customers!$C:$C,,0)=0,"",_xlfn.XLOOKUP(C117,customers!$A:$A,customers!$C:$C,,0))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1"/>
        <v>15.85</v>
      </c>
      <c r="N117" t="s">
        <v>6200</v>
      </c>
      <c r="O117" t="str" cm="1">
        <f t="array" ref="O117">_xlfn.IFS(J117="M","Medium", J117="L","Light", J117="D","Dark")</f>
        <v>Light</v>
      </c>
      <c r="P117" t="str">
        <f>_xlfn.XLOOKUP(orders!$C$2:$C$1001,customers!$A$2:$A$1001,customers!$I$2:$I$1001,,0)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IF(_xlfn.XLOOKUP(C118,customers!$A:$A,customers!$C:$C,,0)=0,"",_xlfn.XLOOKUP(C118,customers!$A:$A,customers!$C:$C,,0))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1"/>
        <v>19.02</v>
      </c>
      <c r="N118" t="s">
        <v>6200</v>
      </c>
      <c r="O118" t="str" cm="1">
        <f t="array" ref="O118">_xlfn.IFS(J118="M","Medium", J118="L","Light", J118="D","Dark")</f>
        <v>Light</v>
      </c>
      <c r="P118" t="str">
        <f>_xlfn.XLOOKUP(orders!$C$2:$C$1001,customers!$A$2:$A$1001,customers!$I$2:$I$1001,,0)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IF(_xlfn.XLOOKUP(C119,customers!$A:$A,customers!$C:$C,,0)=0,"",_xlfn.XLOOKUP(C119,customers!$A:$A,customers!$C:$C,,0))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1"/>
        <v>38.04</v>
      </c>
      <c r="N119" t="s">
        <v>6200</v>
      </c>
      <c r="O119" t="str" cm="1">
        <f t="array" ref="O119">_xlfn.IFS(J119="M","Medium", J119="L","Light", J119="D","Dark")</f>
        <v>Light</v>
      </c>
      <c r="P119" t="str">
        <f>_xlfn.XLOOKUP(orders!$C$2:$C$1001,customers!$A$2:$A$1001,customers!$I$2:$I$1001,,0)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IF(_xlfn.XLOOKUP(C120,customers!$A:$A,customers!$C:$C,,0)=0,"",_xlfn.XLOOKUP(C120,customers!$A:$A,customers!$C:$C,,0))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1"/>
        <v>21.87</v>
      </c>
      <c r="N120" t="s">
        <v>6198</v>
      </c>
      <c r="O120" t="str" cm="1">
        <f t="array" ref="O120">_xlfn.IFS(J120="M","Medium", J120="L","Light", J120="D","Dark")</f>
        <v>Dark</v>
      </c>
      <c r="P120" t="str">
        <f>_xlfn.XLOOKUP(orders!$C$2:$C$1001,customers!$A$2:$A$1001,customers!$I$2:$I$1001,,0)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IF(_xlfn.XLOOKUP(C121,customers!$A:$A,customers!$C:$C,,0)=0,"",_xlfn.XLOOKUP(C121,customers!$A:$A,customers!$C:$C,,0))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1"/>
        <v>4.125</v>
      </c>
      <c r="N121" t="s">
        <v>6198</v>
      </c>
      <c r="O121" t="str" cm="1">
        <f t="array" ref="O121">_xlfn.IFS(J121="M","Medium", J121="L","Light", J121="D","Dark")</f>
        <v>Medium</v>
      </c>
      <c r="P121" t="str">
        <f>_xlfn.XLOOKUP(orders!$C$2:$C$1001,customers!$A$2:$A$1001,customers!$I$2:$I$1001,,0)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IF(_xlfn.XLOOKUP(C122,customers!$A:$A,customers!$C:$C,,0)=0,"",_xlfn.XLOOKUP(C122,customers!$A:$A,customers!$C:$C,,0))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1"/>
        <v>3.8849999999999998</v>
      </c>
      <c r="N122" t="s">
        <v>6199</v>
      </c>
      <c r="O122" t="str" cm="1">
        <f t="array" ref="O122">_xlfn.IFS(J122="M","Medium", J122="L","Light", J122="D","Dark")</f>
        <v>Light</v>
      </c>
      <c r="P122" t="str">
        <f>_xlfn.XLOOKUP(orders!$C$2:$C$1001,customers!$A$2:$A$1001,customers!$I$2:$I$1001,,0)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IF(_xlfn.XLOOKUP(C123,customers!$A:$A,customers!$C:$C,,0)=0,"",_xlfn.XLOOKUP(C123,customers!$A:$A,customers!$C:$C,,0))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1"/>
        <v>68.75</v>
      </c>
      <c r="N123" t="s">
        <v>6198</v>
      </c>
      <c r="O123" t="str" cm="1">
        <f t="array" ref="O123">_xlfn.IFS(J123="M","Medium", J123="L","Light", J123="D","Dark")</f>
        <v>Medium</v>
      </c>
      <c r="P123" t="str">
        <f>_xlfn.XLOOKUP(orders!$C$2:$C$1001,customers!$A$2:$A$1001,customers!$I$2:$I$1001,,0)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IF(_xlfn.XLOOKUP(C124,customers!$A:$A,customers!$C:$C,,0)=0,"",_xlfn.XLOOKUP(C124,customers!$A:$A,customers!$C:$C,,0))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1"/>
        <v>23.88</v>
      </c>
      <c r="N124" t="s">
        <v>6199</v>
      </c>
      <c r="O124" t="str" cm="1">
        <f t="array" ref="O124">_xlfn.IFS(J124="M","Medium", J124="L","Light", J124="D","Dark")</f>
        <v>Dark</v>
      </c>
      <c r="P124" t="str">
        <f>_xlfn.XLOOKUP(orders!$C$2:$C$1001,customers!$A$2:$A$1001,customers!$I$2:$I$1001,,0)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IF(_xlfn.XLOOKUP(C125,customers!$A:$A,customers!$C:$C,,0)=0,"",_xlfn.XLOOKUP(C125,customers!$A:$A,customers!$C:$C,,0))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1"/>
        <v>145.82</v>
      </c>
      <c r="N125" t="s">
        <v>6200</v>
      </c>
      <c r="O125" t="str" cm="1">
        <f t="array" ref="O125">_xlfn.IFS(J125="M","Medium", J125="L","Light", J125="D","Dark")</f>
        <v>Light</v>
      </c>
      <c r="P125" t="str">
        <f>_xlfn.XLOOKUP(orders!$C$2:$C$1001,customers!$A$2:$A$1001,customers!$I$2:$I$1001,,0)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IF(_xlfn.XLOOKUP(C126,customers!$A:$A,customers!$C:$C,,0)=0,"",_xlfn.XLOOKUP(C126,customers!$A:$A,customers!$C:$C,,0))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1"/>
        <v>21.825000000000003</v>
      </c>
      <c r="N126" t="s">
        <v>6200</v>
      </c>
      <c r="O126" t="str" cm="1">
        <f t="array" ref="O126">_xlfn.IFS(J126="M","Medium", J126="L","Light", J126="D","Dark")</f>
        <v>Medium</v>
      </c>
      <c r="P126" t="str">
        <f>_xlfn.XLOOKUP(orders!$C$2:$C$1001,customers!$A$2:$A$1001,customers!$I$2:$I$1001,,0)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IF(_xlfn.XLOOKUP(C127,customers!$A:$A,customers!$C:$C,,0)=0,"",_xlfn.XLOOKUP(C127,customers!$A:$A,customers!$C:$C,,0))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1"/>
        <v>26.19</v>
      </c>
      <c r="N127" t="s">
        <v>6200</v>
      </c>
      <c r="O127" t="str" cm="1">
        <f t="array" ref="O127">_xlfn.IFS(J127="M","Medium", J127="L","Light", J127="D","Dark")</f>
        <v>Medium</v>
      </c>
      <c r="P127" t="str">
        <f>_xlfn.XLOOKUP(orders!$C$2:$C$1001,customers!$A$2:$A$1001,customers!$I$2:$I$1001,,0)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IF(_xlfn.XLOOKUP(C128,customers!$A:$A,customers!$C:$C,,0)=0,"",_xlfn.XLOOKUP(C128,customers!$A:$A,customers!$C:$C,,0))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1"/>
        <v>11.25</v>
      </c>
      <c r="N128" t="s">
        <v>6199</v>
      </c>
      <c r="O128" t="str" cm="1">
        <f t="array" ref="O128">_xlfn.IFS(J128="M","Medium", J128="L","Light", J128="D","Dark")</f>
        <v>Medium</v>
      </c>
      <c r="P128" t="str">
        <f>_xlfn.XLOOKUP(orders!$C$2:$C$1001,customers!$A$2:$A$1001,customers!$I$2:$I$1001,,0)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IF(_xlfn.XLOOKUP(C129,customers!$A:$A,customers!$C:$C,,0)=0,"",_xlfn.XLOOKUP(C129,customers!$A:$A,customers!$C:$C,,0))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1"/>
        <v>77.699999999999989</v>
      </c>
      <c r="N129" t="s">
        <v>6200</v>
      </c>
      <c r="O129" t="str" cm="1">
        <f t="array" ref="O129">_xlfn.IFS(J129="M","Medium", J129="L","Light", J129="D","Dark")</f>
        <v>Dark</v>
      </c>
      <c r="P129" t="str">
        <f>_xlfn.XLOOKUP(orders!$C$2:$C$1001,customers!$A$2:$A$1001,customers!$I$2:$I$1001,,0)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IF(_xlfn.XLOOKUP(C130,customers!$A:$A,customers!$C:$C,,0)=0,"",_xlfn.XLOOKUP(C130,customers!$A:$A,customers!$C:$C,,0))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1"/>
        <v>6.75</v>
      </c>
      <c r="N130" t="s">
        <v>6199</v>
      </c>
      <c r="O130" t="str" cm="1">
        <f t="array" ref="O130">_xlfn.IFS(J130="M","Medium", J130="L","Light", J130="D","Dark")</f>
        <v>Medium</v>
      </c>
      <c r="P130" t="str">
        <f>_xlfn.XLOOKUP(orders!$C$2:$C$1001,customers!$A$2:$A$1001,customers!$I$2:$I$1001,,0)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IF(_xlfn.XLOOKUP(C131,customers!$A:$A,customers!$C:$C,,0)=0,"",_xlfn.XLOOKUP(C131,customers!$A:$A,customers!$C:$C,,0))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2">L131*E131</f>
        <v>12.15</v>
      </c>
      <c r="N131" t="s">
        <v>6198</v>
      </c>
      <c r="O131" t="str" cm="1">
        <f t="array" ref="O131">_xlfn.IFS(J131="M","Medium", J131="L","Light", J131="D","Dark")</f>
        <v>Dark</v>
      </c>
      <c r="P131" t="str">
        <f>_xlfn.XLOOKUP(orders!$C$2:$C$1001,customers!$A$2:$A$1001,customers!$I$2:$I$1001,,0)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IF(_xlfn.XLOOKUP(C132,customers!$A:$A,customers!$C:$C,,0)=0,"",_xlfn.XLOOKUP(C132,customers!$A:$A,customers!$C:$C,,0))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2"/>
        <v>148.92499999999998</v>
      </c>
      <c r="N132" t="s">
        <v>6199</v>
      </c>
      <c r="O132" t="str" cm="1">
        <f t="array" ref="O132">_xlfn.IFS(J132="M","Medium", J132="L","Light", J132="D","Dark")</f>
        <v>Light</v>
      </c>
      <c r="P132" t="str">
        <f>_xlfn.XLOOKUP(orders!$C$2:$C$1001,customers!$A$2:$A$1001,customers!$I$2:$I$1001,,0)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IF(_xlfn.XLOOKUP(C133,customers!$A:$A,customers!$C:$C,,0)=0,"",_xlfn.XLOOKUP(C133,customers!$A:$A,customers!$C:$C,,0))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2"/>
        <v>14.58</v>
      </c>
      <c r="N133" t="s">
        <v>6198</v>
      </c>
      <c r="O133" t="str" cm="1">
        <f t="array" ref="O133">_xlfn.IFS(J133="M","Medium", J133="L","Light", J133="D","Dark")</f>
        <v>Dark</v>
      </c>
      <c r="P133" t="str">
        <f>_xlfn.XLOOKUP(orders!$C$2:$C$1001,customers!$A$2:$A$1001,customers!$I$2:$I$1001,,0)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IF(_xlfn.XLOOKUP(C134,customers!$A:$A,customers!$C:$C,,0)=0,"",_xlfn.XLOOKUP(C134,customers!$A:$A,customers!$C:$C,,0))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2"/>
        <v>148.92499999999998</v>
      </c>
      <c r="N134" t="s">
        <v>6199</v>
      </c>
      <c r="O134" t="str" cm="1">
        <f t="array" ref="O134">_xlfn.IFS(J134="M","Medium", J134="L","Light", J134="D","Dark")</f>
        <v>Light</v>
      </c>
      <c r="P134" t="str">
        <f>_xlfn.XLOOKUP(orders!$C$2:$C$1001,customers!$A$2:$A$1001,customers!$I$2:$I$1001,,0)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IF(_xlfn.XLOOKUP(C135,customers!$A:$A,customers!$C:$C,,0)=0,"",_xlfn.XLOOKUP(C135,customers!$A:$A,customers!$C:$C,,0))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2"/>
        <v>12.95</v>
      </c>
      <c r="N135" t="s">
        <v>6200</v>
      </c>
      <c r="O135" t="str" cm="1">
        <f t="array" ref="O135">_xlfn.IFS(J135="M","Medium", J135="L","Light", J135="D","Dark")</f>
        <v>Dark</v>
      </c>
      <c r="P135" t="str">
        <f>_xlfn.XLOOKUP(orders!$C$2:$C$1001,customers!$A$2:$A$1001,customers!$I$2:$I$1001,,0)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IF(_xlfn.XLOOKUP(C136,customers!$A:$A,customers!$C:$C,,0)=0,"",_xlfn.XLOOKUP(C136,customers!$A:$A,customers!$C:$C,,0))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2"/>
        <v>94.874999999999986</v>
      </c>
      <c r="N136" t="s">
        <v>6198</v>
      </c>
      <c r="O136" t="str" cm="1">
        <f t="array" ref="O136">_xlfn.IFS(J136="M","Medium", J136="L","Light", J136="D","Dark")</f>
        <v>Medium</v>
      </c>
      <c r="P136" t="str">
        <f>_xlfn.XLOOKUP(orders!$C$2:$C$1001,customers!$A$2:$A$1001,customers!$I$2:$I$1001,,0)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IF(_xlfn.XLOOKUP(C137,customers!$A:$A,customers!$C:$C,,0)=0,"",_xlfn.XLOOKUP(C137,customers!$A:$A,customers!$C:$C,,0))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2"/>
        <v>38.849999999999994</v>
      </c>
      <c r="N137" t="s">
        <v>6199</v>
      </c>
      <c r="O137" t="str" cm="1">
        <f t="array" ref="O137">_xlfn.IFS(J137="M","Medium", J137="L","Light", J137="D","Dark")</f>
        <v>Light</v>
      </c>
      <c r="P137" t="str">
        <f>_xlfn.XLOOKUP(orders!$C$2:$C$1001,customers!$A$2:$A$1001,customers!$I$2:$I$1001,,0)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IF(_xlfn.XLOOKUP(C138,customers!$A:$A,customers!$C:$C,,0)=0,"",_xlfn.XLOOKUP(C138,customers!$A:$A,customers!$C:$C,,0))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2"/>
        <v>11.94</v>
      </c>
      <c r="N138" t="s">
        <v>6199</v>
      </c>
      <c r="O138" t="str" cm="1">
        <f t="array" ref="O138">_xlfn.IFS(J138="M","Medium", J138="L","Light", J138="D","Dark")</f>
        <v>Dark</v>
      </c>
      <c r="P138" t="str">
        <f>_xlfn.XLOOKUP(orders!$C$2:$C$1001,customers!$A$2:$A$1001,customers!$I$2:$I$1001,,0)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IF(_xlfn.XLOOKUP(C139,customers!$A:$A,customers!$C:$C,,0)=0,"",_xlfn.XLOOKUP(C139,customers!$A:$A,customers!$C:$C,,0))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2"/>
        <v>102.46499999999997</v>
      </c>
      <c r="N139" t="s">
        <v>6198</v>
      </c>
      <c r="O139" t="str" cm="1">
        <f t="array" ref="O139">_xlfn.IFS(J139="M","Medium", J139="L","Light", J139="D","Dark")</f>
        <v>Light</v>
      </c>
      <c r="P139" t="str">
        <f>_xlfn.XLOOKUP(orders!$C$2:$C$1001,customers!$A$2:$A$1001,customers!$I$2:$I$1001,,0)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IF(_xlfn.XLOOKUP(C140,customers!$A:$A,customers!$C:$C,,0)=0,"",_xlfn.XLOOKUP(C140,customers!$A:$A,customers!$C:$C,,0))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2"/>
        <v>48.6</v>
      </c>
      <c r="N140" t="s">
        <v>6198</v>
      </c>
      <c r="O140" t="str" cm="1">
        <f t="array" ref="O140">_xlfn.IFS(J140="M","Medium", J140="L","Light", J140="D","Dark")</f>
        <v>Dark</v>
      </c>
      <c r="P140" t="str">
        <f>_xlfn.XLOOKUP(orders!$C$2:$C$1001,customers!$A$2:$A$1001,customers!$I$2:$I$1001,,0)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IF(_xlfn.XLOOKUP(C141,customers!$A:$A,customers!$C:$C,,0)=0,"",_xlfn.XLOOKUP(C141,customers!$A:$A,customers!$C:$C,,0))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2"/>
        <v>77.699999999999989</v>
      </c>
      <c r="N141" t="s">
        <v>6200</v>
      </c>
      <c r="O141" t="str" cm="1">
        <f t="array" ref="O141">_xlfn.IFS(J141="M","Medium", J141="L","Light", J141="D","Dark")</f>
        <v>Dark</v>
      </c>
      <c r="P141" t="str">
        <f>_xlfn.XLOOKUP(orders!$C$2:$C$1001,customers!$A$2:$A$1001,customers!$I$2:$I$1001,,0)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IF(_xlfn.XLOOKUP(C142,customers!$A:$A,customers!$C:$C,,0)=0,"",_xlfn.XLOOKUP(C142,customers!$A:$A,customers!$C:$C,,0))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2"/>
        <v>29.784999999999997</v>
      </c>
      <c r="N142" t="s">
        <v>6200</v>
      </c>
      <c r="O142" t="str" cm="1">
        <f t="array" ref="O142">_xlfn.IFS(J142="M","Medium", J142="L","Light", J142="D","Dark")</f>
        <v>Dark</v>
      </c>
      <c r="P142" t="str">
        <f>_xlfn.XLOOKUP(orders!$C$2:$C$1001,customers!$A$2:$A$1001,customers!$I$2:$I$1001,,0)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IF(_xlfn.XLOOKUP(C143,customers!$A:$A,customers!$C:$C,,0)=0,"",_xlfn.XLOOKUP(C143,customers!$A:$A,customers!$C:$C,,0))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2"/>
        <v>15.54</v>
      </c>
      <c r="N143" t="s">
        <v>6199</v>
      </c>
      <c r="O143" t="str" cm="1">
        <f t="array" ref="O143">_xlfn.IFS(J143="M","Medium", J143="L","Light", J143="D","Dark")</f>
        <v>Light</v>
      </c>
      <c r="P143" t="str">
        <f>_xlfn.XLOOKUP(orders!$C$2:$C$1001,customers!$A$2:$A$1001,customers!$I$2:$I$1001,,0)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IF(_xlfn.XLOOKUP(C144,customers!$A:$A,customers!$C:$C,,0)=0,"",_xlfn.XLOOKUP(C144,customers!$A:$A,customers!$C:$C,,0))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2"/>
        <v>136.61999999999998</v>
      </c>
      <c r="N144" t="s">
        <v>6198</v>
      </c>
      <c r="O144" t="str" cm="1">
        <f t="array" ref="O144">_xlfn.IFS(J144="M","Medium", J144="L","Light", J144="D","Dark")</f>
        <v>Light</v>
      </c>
      <c r="P144" t="str">
        <f>_xlfn.XLOOKUP(orders!$C$2:$C$1001,customers!$A$2:$A$1001,customers!$I$2:$I$1001,,0)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IF(_xlfn.XLOOKUP(C145,customers!$A:$A,customers!$C:$C,,0)=0,"",_xlfn.XLOOKUP(C145,customers!$A:$A,customers!$C:$C,,0))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2"/>
        <v>17.46</v>
      </c>
      <c r="N145" t="s">
        <v>6200</v>
      </c>
      <c r="O145" t="str" cm="1">
        <f t="array" ref="O145">_xlfn.IFS(J145="M","Medium", J145="L","Light", J145="D","Dark")</f>
        <v>Medium</v>
      </c>
      <c r="P145" t="str">
        <f>_xlfn.XLOOKUP(orders!$C$2:$C$1001,customers!$A$2:$A$1001,customers!$I$2:$I$1001,,0)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IF(_xlfn.XLOOKUP(C146,customers!$A:$A,customers!$C:$C,,0)=0,"",_xlfn.XLOOKUP(C146,customers!$A:$A,customers!$C:$C,,0))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2"/>
        <v>68.309999999999988</v>
      </c>
      <c r="N146" t="s">
        <v>6198</v>
      </c>
      <c r="O146" t="str" cm="1">
        <f t="array" ref="O146">_xlfn.IFS(J146="M","Medium", J146="L","Light", J146="D","Dark")</f>
        <v>Light</v>
      </c>
      <c r="P146" t="str">
        <f>_xlfn.XLOOKUP(orders!$C$2:$C$1001,customers!$A$2:$A$1001,customers!$I$2:$I$1001,,0)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IF(_xlfn.XLOOKUP(C147,customers!$A:$A,customers!$C:$C,,0)=0,"",_xlfn.XLOOKUP(C147,customers!$A:$A,customers!$C:$C,,0))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2"/>
        <v>17.46</v>
      </c>
      <c r="N147" t="s">
        <v>6200</v>
      </c>
      <c r="O147" t="str" cm="1">
        <f t="array" ref="O147">_xlfn.IFS(J147="M","Medium", J147="L","Light", J147="D","Dark")</f>
        <v>Medium</v>
      </c>
      <c r="P147" t="str">
        <f>_xlfn.XLOOKUP(orders!$C$2:$C$1001,customers!$A$2:$A$1001,customers!$I$2:$I$1001,,0)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IF(_xlfn.XLOOKUP(C148,customers!$A:$A,customers!$C:$C,,0)=0,"",_xlfn.XLOOKUP(C148,customers!$A:$A,customers!$C:$C,,0))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2"/>
        <v>43.650000000000006</v>
      </c>
      <c r="N148" t="s">
        <v>6200</v>
      </c>
      <c r="O148" t="str" cm="1">
        <f t="array" ref="O148">_xlfn.IFS(J148="M","Medium", J148="L","Light", J148="D","Dark")</f>
        <v>Medium</v>
      </c>
      <c r="P148" t="str">
        <f>_xlfn.XLOOKUP(orders!$C$2:$C$1001,customers!$A$2:$A$1001,customers!$I$2:$I$1001,,0)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IF(_xlfn.XLOOKUP(C149,customers!$A:$A,customers!$C:$C,,0)=0,"",_xlfn.XLOOKUP(C149,customers!$A:$A,customers!$C:$C,,0))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2"/>
        <v>27.5</v>
      </c>
      <c r="N149" t="s">
        <v>6198</v>
      </c>
      <c r="O149" t="str" cm="1">
        <f t="array" ref="O149">_xlfn.IFS(J149="M","Medium", J149="L","Light", J149="D","Dark")</f>
        <v>Medium</v>
      </c>
      <c r="P149" t="str">
        <f>_xlfn.XLOOKUP(orders!$C$2:$C$1001,customers!$A$2:$A$1001,customers!$I$2:$I$1001,,0)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IF(_xlfn.XLOOKUP(C150,customers!$A:$A,customers!$C:$C,,0)=0,"",_xlfn.XLOOKUP(C150,customers!$A:$A,customers!$C:$C,,0))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2"/>
        <v>18.225000000000001</v>
      </c>
      <c r="N150" t="s">
        <v>6198</v>
      </c>
      <c r="O150" t="str" cm="1">
        <f t="array" ref="O150">_xlfn.IFS(J150="M","Medium", J150="L","Light", J150="D","Dark")</f>
        <v>Dark</v>
      </c>
      <c r="P150" t="str">
        <f>_xlfn.XLOOKUP(orders!$C$2:$C$1001,customers!$A$2:$A$1001,customers!$I$2:$I$1001,,0)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IF(_xlfn.XLOOKUP(C151,customers!$A:$A,customers!$C:$C,,0)=0,"",_xlfn.XLOOKUP(C151,customers!$A:$A,customers!$C:$C,,0))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2"/>
        <v>51.749999999999993</v>
      </c>
      <c r="N151" t="s">
        <v>6199</v>
      </c>
      <c r="O151" t="str" cm="1">
        <f t="array" ref="O151">_xlfn.IFS(J151="M","Medium", J151="L","Light", J151="D","Dark")</f>
        <v>Medium</v>
      </c>
      <c r="P151" t="str">
        <f>_xlfn.XLOOKUP(orders!$C$2:$C$1001,customers!$A$2:$A$1001,customers!$I$2:$I$1001,,0)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IF(_xlfn.XLOOKUP(C152,customers!$A:$A,customers!$C:$C,,0)=0,"",_xlfn.XLOOKUP(C152,customers!$A:$A,customers!$C:$C,,0))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2"/>
        <v>12.95</v>
      </c>
      <c r="N152" t="s">
        <v>6200</v>
      </c>
      <c r="O152" t="str" cm="1">
        <f t="array" ref="O152">_xlfn.IFS(J152="M","Medium", J152="L","Light", J152="D","Dark")</f>
        <v>Dark</v>
      </c>
      <c r="P152" t="str">
        <f>_xlfn.XLOOKUP(orders!$C$2:$C$1001,customers!$A$2:$A$1001,customers!$I$2:$I$1001,,0)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IF(_xlfn.XLOOKUP(C153,customers!$A:$A,customers!$C:$C,,0)=0,"",_xlfn.XLOOKUP(C153,customers!$A:$A,customers!$C:$C,,0))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2"/>
        <v>33.75</v>
      </c>
      <c r="N153" t="s">
        <v>6199</v>
      </c>
      <c r="O153" t="str" cm="1">
        <f t="array" ref="O153">_xlfn.IFS(J153="M","Medium", J153="L","Light", J153="D","Dark")</f>
        <v>Medium</v>
      </c>
      <c r="P153" t="str">
        <f>_xlfn.XLOOKUP(orders!$C$2:$C$1001,customers!$A$2:$A$1001,customers!$I$2:$I$1001,,0)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IF(_xlfn.XLOOKUP(C154,customers!$A:$A,customers!$C:$C,,0)=0,"",_xlfn.XLOOKUP(C154,customers!$A:$A,customers!$C:$C,,0))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2"/>
        <v>68.655000000000001</v>
      </c>
      <c r="N154" t="s">
        <v>6197</v>
      </c>
      <c r="O154" t="str" cm="1">
        <f t="array" ref="O154">_xlfn.IFS(J154="M","Medium", J154="L","Light", J154="D","Dark")</f>
        <v>Medium</v>
      </c>
      <c r="P154" t="str">
        <f>_xlfn.XLOOKUP(orders!$C$2:$C$1001,customers!$A$2:$A$1001,customers!$I$2:$I$1001,,0)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IF(_xlfn.XLOOKUP(C155,customers!$A:$A,customers!$C:$C,,0)=0,"",_xlfn.XLOOKUP(C155,customers!$A:$A,customers!$C:$C,,0))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2"/>
        <v>2.6849999999999996</v>
      </c>
      <c r="N155" t="s">
        <v>6197</v>
      </c>
      <c r="O155" t="str" cm="1">
        <f t="array" ref="O155">_xlfn.IFS(J155="M","Medium", J155="L","Light", J155="D","Dark")</f>
        <v>Dark</v>
      </c>
      <c r="P155" t="str">
        <f>_xlfn.XLOOKUP(orders!$C$2:$C$1001,customers!$A$2:$A$1001,customers!$I$2:$I$1001,,0)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IF(_xlfn.XLOOKUP(C156,customers!$A:$A,customers!$C:$C,,0)=0,"",_xlfn.XLOOKUP(C156,customers!$A:$A,customers!$C:$C,,0))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2"/>
        <v>114.42499999999998</v>
      </c>
      <c r="N156" t="s">
        <v>6199</v>
      </c>
      <c r="O156" t="str" cm="1">
        <f t="array" ref="O156">_xlfn.IFS(J156="M","Medium", J156="L","Light", J156="D","Dark")</f>
        <v>Dark</v>
      </c>
      <c r="P156" t="str">
        <f>_xlfn.XLOOKUP(orders!$C$2:$C$1001,customers!$A$2:$A$1001,customers!$I$2:$I$1001,,0)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IF(_xlfn.XLOOKUP(C157,customers!$A:$A,customers!$C:$C,,0)=0,"",_xlfn.XLOOKUP(C157,customers!$A:$A,customers!$C:$C,,0))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2"/>
        <v>155.24999999999997</v>
      </c>
      <c r="N157" t="s">
        <v>6199</v>
      </c>
      <c r="O157" t="str" cm="1">
        <f t="array" ref="O157">_xlfn.IFS(J157="M","Medium", J157="L","Light", J157="D","Dark")</f>
        <v>Medium</v>
      </c>
      <c r="P157" t="str">
        <f>_xlfn.XLOOKUP(orders!$C$2:$C$1001,customers!$A$2:$A$1001,customers!$I$2:$I$1001,,0)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IF(_xlfn.XLOOKUP(C158,customers!$A:$A,customers!$C:$C,,0)=0,"",_xlfn.XLOOKUP(C158,customers!$A:$A,customers!$C:$C,,0))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2"/>
        <v>77.624999999999986</v>
      </c>
      <c r="N158" t="s">
        <v>6199</v>
      </c>
      <c r="O158" t="str" cm="1">
        <f t="array" ref="O158">_xlfn.IFS(J158="M","Medium", J158="L","Light", J158="D","Dark")</f>
        <v>Medium</v>
      </c>
      <c r="P158" t="str">
        <f>_xlfn.XLOOKUP(orders!$C$2:$C$1001,customers!$A$2:$A$1001,customers!$I$2:$I$1001,,0)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IF(_xlfn.XLOOKUP(C159,customers!$A:$A,customers!$C:$C,,0)=0,"",_xlfn.XLOOKUP(C159,customers!$A:$A,customers!$C:$C,,0))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2"/>
        <v>61.754999999999995</v>
      </c>
      <c r="N159" t="s">
        <v>6197</v>
      </c>
      <c r="O159" t="str" cm="1">
        <f t="array" ref="O159">_xlfn.IFS(J159="M","Medium", J159="L","Light", J159="D","Dark")</f>
        <v>Dark</v>
      </c>
      <c r="P159" t="str">
        <f>_xlfn.XLOOKUP(orders!$C$2:$C$1001,customers!$A$2:$A$1001,customers!$I$2:$I$1001,,0)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IF(_xlfn.XLOOKUP(C160,customers!$A:$A,customers!$C:$C,,0)=0,"",_xlfn.XLOOKUP(C160,customers!$A:$A,customers!$C:$C,,0))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2"/>
        <v>123.50999999999999</v>
      </c>
      <c r="N160" t="s">
        <v>6197</v>
      </c>
      <c r="O160" t="str" cm="1">
        <f t="array" ref="O160">_xlfn.IFS(J160="M","Medium", J160="L","Light", J160="D","Dark")</f>
        <v>Dark</v>
      </c>
      <c r="P160" t="str">
        <f>_xlfn.XLOOKUP(orders!$C$2:$C$1001,customers!$A$2:$A$1001,customers!$I$2:$I$1001,,0)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IF(_xlfn.XLOOKUP(C161,customers!$A:$A,customers!$C:$C,,0)=0,"",_xlfn.XLOOKUP(C161,customers!$A:$A,customers!$C:$C,,0))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2"/>
        <v>218.73</v>
      </c>
      <c r="N161" t="s">
        <v>6200</v>
      </c>
      <c r="O161" t="str" cm="1">
        <f t="array" ref="O161">_xlfn.IFS(J161="M","Medium", J161="L","Light", J161="D","Dark")</f>
        <v>Light</v>
      </c>
      <c r="P161" t="str">
        <f>_xlfn.XLOOKUP(orders!$C$2:$C$1001,customers!$A$2:$A$1001,customers!$I$2:$I$1001,,0)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IF(_xlfn.XLOOKUP(C162,customers!$A:$A,customers!$C:$C,,0)=0,"",_xlfn.XLOOKUP(C162,customers!$A:$A,customers!$C:$C,,0))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2"/>
        <v>33</v>
      </c>
      <c r="N162" t="s">
        <v>6198</v>
      </c>
      <c r="O162" t="str" cm="1">
        <f t="array" ref="O162">_xlfn.IFS(J162="M","Medium", J162="L","Light", J162="D","Dark")</f>
        <v>Medium</v>
      </c>
      <c r="P162" t="str">
        <f>_xlfn.XLOOKUP(orders!$C$2:$C$1001,customers!$A$2:$A$1001,customers!$I$2:$I$1001,,0)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IF(_xlfn.XLOOKUP(C163,customers!$A:$A,customers!$C:$C,,0)=0,"",_xlfn.XLOOKUP(C163,customers!$A:$A,customers!$C:$C,,0))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2"/>
        <v>23.31</v>
      </c>
      <c r="N163" t="s">
        <v>6199</v>
      </c>
      <c r="O163" t="str" cm="1">
        <f t="array" ref="O163">_xlfn.IFS(J163="M","Medium", J163="L","Light", J163="D","Dark")</f>
        <v>Light</v>
      </c>
      <c r="P163" t="str">
        <f>_xlfn.XLOOKUP(orders!$C$2:$C$1001,customers!$A$2:$A$1001,customers!$I$2:$I$1001,,0)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IF(_xlfn.XLOOKUP(C164,customers!$A:$A,customers!$C:$C,,0)=0,"",_xlfn.XLOOKUP(C164,customers!$A:$A,customers!$C:$C,,0))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2"/>
        <v>21.87</v>
      </c>
      <c r="N164" t="s">
        <v>6198</v>
      </c>
      <c r="O164" t="str" cm="1">
        <f t="array" ref="O164">_xlfn.IFS(J164="M","Medium", J164="L","Light", J164="D","Dark")</f>
        <v>Dark</v>
      </c>
      <c r="P164" t="str">
        <f>_xlfn.XLOOKUP(orders!$C$2:$C$1001,customers!$A$2:$A$1001,customers!$I$2:$I$1001,,0)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IF(_xlfn.XLOOKUP(C165,customers!$A:$A,customers!$C:$C,,0)=0,"",_xlfn.XLOOKUP(C165,customers!$A:$A,customers!$C:$C,,0))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2"/>
        <v>16.11</v>
      </c>
      <c r="N165" t="s">
        <v>6197</v>
      </c>
      <c r="O165" t="str" cm="1">
        <f t="array" ref="O165">_xlfn.IFS(J165="M","Medium", J165="L","Light", J165="D","Dark")</f>
        <v>Dark</v>
      </c>
      <c r="P165" t="str">
        <f>_xlfn.XLOOKUP(orders!$C$2:$C$1001,customers!$A$2:$A$1001,customers!$I$2:$I$1001,,0)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IF(_xlfn.XLOOKUP(C166,customers!$A:$A,customers!$C:$C,,0)=0,"",_xlfn.XLOOKUP(C166,customers!$A:$A,customers!$C:$C,,0))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2"/>
        <v>29.16</v>
      </c>
      <c r="N166" t="s">
        <v>6198</v>
      </c>
      <c r="O166" t="str" cm="1">
        <f t="array" ref="O166">_xlfn.IFS(J166="M","Medium", J166="L","Light", J166="D","Dark")</f>
        <v>Dark</v>
      </c>
      <c r="P166" t="str">
        <f>_xlfn.XLOOKUP(orders!$C$2:$C$1001,customers!$A$2:$A$1001,customers!$I$2:$I$1001,,0)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IF(_xlfn.XLOOKUP(C167,customers!$A:$A,customers!$C:$C,,0)=0,"",_xlfn.XLOOKUP(C167,customers!$A:$A,customers!$C:$C,,0))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2"/>
        <v>53.699999999999996</v>
      </c>
      <c r="N167" t="s">
        <v>6197</v>
      </c>
      <c r="O167" t="str" cm="1">
        <f t="array" ref="O167">_xlfn.IFS(J167="M","Medium", J167="L","Light", J167="D","Dark")</f>
        <v>Dark</v>
      </c>
      <c r="P167" t="str">
        <f>_xlfn.XLOOKUP(orders!$C$2:$C$1001,customers!$A$2:$A$1001,customers!$I$2:$I$1001,,0)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IF(_xlfn.XLOOKUP(C168,customers!$A:$A,customers!$C:$C,,0)=0,"",_xlfn.XLOOKUP(C168,customers!$A:$A,customers!$C:$C,,0))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2"/>
        <v>26.849999999999994</v>
      </c>
      <c r="N168" t="s">
        <v>6197</v>
      </c>
      <c r="O168" t="str" cm="1">
        <f t="array" ref="O168">_xlfn.IFS(J168="M","Medium", J168="L","Light", J168="D","Dark")</f>
        <v>Dark</v>
      </c>
      <c r="P168" t="str">
        <f>_xlfn.XLOOKUP(orders!$C$2:$C$1001,customers!$A$2:$A$1001,customers!$I$2:$I$1001,,0)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IF(_xlfn.XLOOKUP(C169,customers!$A:$A,customers!$C:$C,,0)=0,"",_xlfn.XLOOKUP(C169,customers!$A:$A,customers!$C:$C,,0))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2"/>
        <v>41.25</v>
      </c>
      <c r="N169" t="s">
        <v>6198</v>
      </c>
      <c r="O169" t="str" cm="1">
        <f t="array" ref="O169">_xlfn.IFS(J169="M","Medium", J169="L","Light", J169="D","Dark")</f>
        <v>Medium</v>
      </c>
      <c r="P169" t="str">
        <f>_xlfn.XLOOKUP(orders!$C$2:$C$1001,customers!$A$2:$A$1001,customers!$I$2:$I$1001,,0)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IF(_xlfn.XLOOKUP(C170,customers!$A:$A,customers!$C:$C,,0)=0,"",_xlfn.XLOOKUP(C170,customers!$A:$A,customers!$C:$C,,0))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2"/>
        <v>40.5</v>
      </c>
      <c r="N170" t="s">
        <v>6199</v>
      </c>
      <c r="O170" t="str" cm="1">
        <f t="array" ref="O170">_xlfn.IFS(J170="M","Medium", J170="L","Light", J170="D","Dark")</f>
        <v>Medium</v>
      </c>
      <c r="P170" t="str">
        <f>_xlfn.XLOOKUP(orders!$C$2:$C$1001,customers!$A$2:$A$1001,customers!$I$2:$I$1001,,0)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IF(_xlfn.XLOOKUP(C171,customers!$A:$A,customers!$C:$C,,0)=0,"",_xlfn.XLOOKUP(C171,customers!$A:$A,customers!$C:$C,,0))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2"/>
        <v>17.899999999999999</v>
      </c>
      <c r="N171" t="s">
        <v>6197</v>
      </c>
      <c r="O171" t="str" cm="1">
        <f t="array" ref="O171">_xlfn.IFS(J171="M","Medium", J171="L","Light", J171="D","Dark")</f>
        <v>Dark</v>
      </c>
      <c r="P171" t="str">
        <f>_xlfn.XLOOKUP(orders!$C$2:$C$1001,customers!$A$2:$A$1001,customers!$I$2:$I$1001,,0)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IF(_xlfn.XLOOKUP(C172,customers!$A:$A,customers!$C:$C,,0)=0,"",_xlfn.XLOOKUP(C172,customers!$A:$A,customers!$C:$C,,0))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2"/>
        <v>68.309999999999988</v>
      </c>
      <c r="N172" t="s">
        <v>6198</v>
      </c>
      <c r="O172" t="str" cm="1">
        <f t="array" ref="O172">_xlfn.IFS(J172="M","Medium", J172="L","Light", J172="D","Dark")</f>
        <v>Light</v>
      </c>
      <c r="P172" t="str">
        <f>_xlfn.XLOOKUP(orders!$C$2:$C$1001,customers!$A$2:$A$1001,customers!$I$2:$I$1001,,0)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IF(_xlfn.XLOOKUP(C173,customers!$A:$A,customers!$C:$C,,0)=0,"",_xlfn.XLOOKUP(C173,customers!$A:$A,customers!$C:$C,,0))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2"/>
        <v>63.249999999999993</v>
      </c>
      <c r="N173" t="s">
        <v>6198</v>
      </c>
      <c r="O173" t="str" cm="1">
        <f t="array" ref="O173">_xlfn.IFS(J173="M","Medium", J173="L","Light", J173="D","Dark")</f>
        <v>Medium</v>
      </c>
      <c r="P173" t="str">
        <f>_xlfn.XLOOKUP(orders!$C$2:$C$1001,customers!$A$2:$A$1001,customers!$I$2:$I$1001,,0)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IF(_xlfn.XLOOKUP(C174,customers!$A:$A,customers!$C:$C,,0)=0,"",_xlfn.XLOOKUP(C174,customers!$A:$A,customers!$C:$C,,0))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2"/>
        <v>21.87</v>
      </c>
      <c r="N174" t="s">
        <v>6198</v>
      </c>
      <c r="O174" t="str" cm="1">
        <f t="array" ref="O174">_xlfn.IFS(J174="M","Medium", J174="L","Light", J174="D","Dark")</f>
        <v>Dark</v>
      </c>
      <c r="P174" t="str">
        <f>_xlfn.XLOOKUP(orders!$C$2:$C$1001,customers!$A$2:$A$1001,customers!$I$2:$I$1001,,0)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IF(_xlfn.XLOOKUP(C175,customers!$A:$A,customers!$C:$C,,0)=0,"",_xlfn.XLOOKUP(C175,customers!$A:$A,customers!$C:$C,,0))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2"/>
        <v>91.539999999999992</v>
      </c>
      <c r="N175" t="s">
        <v>6197</v>
      </c>
      <c r="O175" t="str" cm="1">
        <f t="array" ref="O175">_xlfn.IFS(J175="M","Medium", J175="L","Light", J175="D","Dark")</f>
        <v>Medium</v>
      </c>
      <c r="P175" t="str">
        <f>_xlfn.XLOOKUP(orders!$C$2:$C$1001,customers!$A$2:$A$1001,customers!$I$2:$I$1001,,0)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IF(_xlfn.XLOOKUP(C176,customers!$A:$A,customers!$C:$C,,0)=0,"",_xlfn.XLOOKUP(C176,customers!$A:$A,customers!$C:$C,,0))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2"/>
        <v>204.92999999999995</v>
      </c>
      <c r="N176" t="s">
        <v>6198</v>
      </c>
      <c r="O176" t="str" cm="1">
        <f t="array" ref="O176">_xlfn.IFS(J176="M","Medium", J176="L","Light", J176="D","Dark")</f>
        <v>Light</v>
      </c>
      <c r="P176" t="str">
        <f>_xlfn.XLOOKUP(orders!$C$2:$C$1001,customers!$A$2:$A$1001,customers!$I$2:$I$1001,,0)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IF(_xlfn.XLOOKUP(C177,customers!$A:$A,customers!$C:$C,,0)=0,"",_xlfn.XLOOKUP(C177,customers!$A:$A,customers!$C:$C,,0))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2"/>
        <v>63.249999999999993</v>
      </c>
      <c r="N177" t="s">
        <v>6198</v>
      </c>
      <c r="O177" t="str" cm="1">
        <f t="array" ref="O177">_xlfn.IFS(J177="M","Medium", J177="L","Light", J177="D","Dark")</f>
        <v>Medium</v>
      </c>
      <c r="P177" t="str">
        <f>_xlfn.XLOOKUP(orders!$C$2:$C$1001,customers!$A$2:$A$1001,customers!$I$2:$I$1001,,0)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IF(_xlfn.XLOOKUP(C178,customers!$A:$A,customers!$C:$C,,0)=0,"",_xlfn.XLOOKUP(C178,customers!$A:$A,customers!$C:$C,,0))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2"/>
        <v>34.154999999999994</v>
      </c>
      <c r="N178" t="s">
        <v>6198</v>
      </c>
      <c r="O178" t="str" cm="1">
        <f t="array" ref="O178">_xlfn.IFS(J178="M","Medium", J178="L","Light", J178="D","Dark")</f>
        <v>Light</v>
      </c>
      <c r="P178" t="str">
        <f>_xlfn.XLOOKUP(orders!$C$2:$C$1001,customers!$A$2:$A$1001,customers!$I$2:$I$1001,,0)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IF(_xlfn.XLOOKUP(C179,customers!$A:$A,customers!$C:$C,,0)=0,"",_xlfn.XLOOKUP(C179,customers!$A:$A,customers!$C:$C,,0))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2"/>
        <v>109.93999999999998</v>
      </c>
      <c r="N179" t="s">
        <v>6197</v>
      </c>
      <c r="O179" t="str" cm="1">
        <f t="array" ref="O179">_xlfn.IFS(J179="M","Medium", J179="L","Light", J179="D","Dark")</f>
        <v>Light</v>
      </c>
      <c r="P179" t="str">
        <f>_xlfn.XLOOKUP(orders!$C$2:$C$1001,customers!$A$2:$A$1001,customers!$I$2:$I$1001,,0)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IF(_xlfn.XLOOKUP(C180,customers!$A:$A,customers!$C:$C,,0)=0,"",_xlfn.XLOOKUP(C180,customers!$A:$A,customers!$C:$C,,0))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2"/>
        <v>25.9</v>
      </c>
      <c r="N180" t="s">
        <v>6199</v>
      </c>
      <c r="O180" t="str" cm="1">
        <f t="array" ref="O180">_xlfn.IFS(J180="M","Medium", J180="L","Light", J180="D","Dark")</f>
        <v>Light</v>
      </c>
      <c r="P180" t="str">
        <f>_xlfn.XLOOKUP(orders!$C$2:$C$1001,customers!$A$2:$A$1001,customers!$I$2:$I$1001,,0)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IF(_xlfn.XLOOKUP(C181,customers!$A:$A,customers!$C:$C,,0)=0,"",_xlfn.XLOOKUP(C181,customers!$A:$A,customers!$C:$C,,0))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2"/>
        <v>2.9849999999999999</v>
      </c>
      <c r="N181" t="s">
        <v>6199</v>
      </c>
      <c r="O181" t="str" cm="1">
        <f t="array" ref="O181">_xlfn.IFS(J181="M","Medium", J181="L","Light", J181="D","Dark")</f>
        <v>Dark</v>
      </c>
      <c r="P181" t="str">
        <f>_xlfn.XLOOKUP(orders!$C$2:$C$1001,customers!$A$2:$A$1001,customers!$I$2:$I$1001,,0)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IF(_xlfn.XLOOKUP(C182,customers!$A:$A,customers!$C:$C,,0)=0,"",_xlfn.XLOOKUP(C182,customers!$A:$A,customers!$C:$C,,0))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2"/>
        <v>22.274999999999999</v>
      </c>
      <c r="N182" t="s">
        <v>6198</v>
      </c>
      <c r="O182" t="str" cm="1">
        <f t="array" ref="O182">_xlfn.IFS(J182="M","Medium", J182="L","Light", J182="D","Dark")</f>
        <v>Light</v>
      </c>
      <c r="P182" t="str">
        <f>_xlfn.XLOOKUP(orders!$C$2:$C$1001,customers!$A$2:$A$1001,customers!$I$2:$I$1001,,0)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IF(_xlfn.XLOOKUP(C183,customers!$A:$A,customers!$C:$C,,0)=0,"",_xlfn.XLOOKUP(C183,customers!$A:$A,customers!$C:$C,,0))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2"/>
        <v>29.849999999999998</v>
      </c>
      <c r="N183" t="s">
        <v>6199</v>
      </c>
      <c r="O183" t="str" cm="1">
        <f t="array" ref="O183">_xlfn.IFS(J183="M","Medium", J183="L","Light", J183="D","Dark")</f>
        <v>Dark</v>
      </c>
      <c r="P183" t="str">
        <f>_xlfn.XLOOKUP(orders!$C$2:$C$1001,customers!$A$2:$A$1001,customers!$I$2:$I$1001,,0)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IF(_xlfn.XLOOKUP(C184,customers!$A:$A,customers!$C:$C,,0)=0,"",_xlfn.XLOOKUP(C184,customers!$A:$A,customers!$C:$C,,0))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2"/>
        <v>32.22</v>
      </c>
      <c r="N184" t="s">
        <v>6197</v>
      </c>
      <c r="O184" t="str" cm="1">
        <f t="array" ref="O184">_xlfn.IFS(J184="M","Medium", J184="L","Light", J184="D","Dark")</f>
        <v>Dark</v>
      </c>
      <c r="P184" t="str">
        <f>_xlfn.XLOOKUP(orders!$C$2:$C$1001,customers!$A$2:$A$1001,customers!$I$2:$I$1001,,0)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IF(_xlfn.XLOOKUP(C185,customers!$A:$A,customers!$C:$C,,0)=0,"",_xlfn.XLOOKUP(C185,customers!$A:$A,customers!$C:$C,,0))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2"/>
        <v>8.25</v>
      </c>
      <c r="N185" t="s">
        <v>6198</v>
      </c>
      <c r="O185" t="str" cm="1">
        <f t="array" ref="O185">_xlfn.IFS(J185="M","Medium", J185="L","Light", J185="D","Dark")</f>
        <v>Medium</v>
      </c>
      <c r="P185" t="str">
        <f>_xlfn.XLOOKUP(orders!$C$2:$C$1001,customers!$A$2:$A$1001,customers!$I$2:$I$1001,,0)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IF(_xlfn.XLOOKUP(C186,customers!$A:$A,customers!$C:$C,,0)=0,"",_xlfn.XLOOKUP(C186,customers!$A:$A,customers!$C:$C,,0))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2"/>
        <v>31.08</v>
      </c>
      <c r="N186" t="s">
        <v>6199</v>
      </c>
      <c r="O186" t="str" cm="1">
        <f t="array" ref="O186">_xlfn.IFS(J186="M","Medium", J186="L","Light", J186="D","Dark")</f>
        <v>Light</v>
      </c>
      <c r="P186" t="str">
        <f>_xlfn.XLOOKUP(orders!$C$2:$C$1001,customers!$A$2:$A$1001,customers!$I$2:$I$1001,,0)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IF(_xlfn.XLOOKUP(C187,customers!$A:$A,customers!$C:$C,,0)=0,"",_xlfn.XLOOKUP(C187,customers!$A:$A,customers!$C:$C,,0))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2"/>
        <v>36.450000000000003</v>
      </c>
      <c r="N187" t="s">
        <v>6198</v>
      </c>
      <c r="O187" t="str" cm="1">
        <f t="array" ref="O187">_xlfn.IFS(J187="M","Medium", J187="L","Light", J187="D","Dark")</f>
        <v>Dark</v>
      </c>
      <c r="P187" t="str">
        <f>_xlfn.XLOOKUP(orders!$C$2:$C$1001,customers!$A$2:$A$1001,customers!$I$2:$I$1001,,0)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IF(_xlfn.XLOOKUP(C188,customers!$A:$A,customers!$C:$C,,0)=0,"",_xlfn.XLOOKUP(C188,customers!$A:$A,customers!$C:$C,,0))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2"/>
        <v>68.655000000000001</v>
      </c>
      <c r="N188" t="s">
        <v>6197</v>
      </c>
      <c r="O188" t="str" cm="1">
        <f t="array" ref="O188">_xlfn.IFS(J188="M","Medium", J188="L","Light", J188="D","Dark")</f>
        <v>Medium</v>
      </c>
      <c r="P188" t="str">
        <f>_xlfn.XLOOKUP(orders!$C$2:$C$1001,customers!$A$2:$A$1001,customers!$I$2:$I$1001,,0)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IF(_xlfn.XLOOKUP(C189,customers!$A:$A,customers!$C:$C,,0)=0,"",_xlfn.XLOOKUP(C189,customers!$A:$A,customers!$C:$C,,0))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2"/>
        <v>43.650000000000006</v>
      </c>
      <c r="N189" t="s">
        <v>6200</v>
      </c>
      <c r="O189" t="str" cm="1">
        <f t="array" ref="O189">_xlfn.IFS(J189="M","Medium", J189="L","Light", J189="D","Dark")</f>
        <v>Medium</v>
      </c>
      <c r="P189" t="str">
        <f>_xlfn.XLOOKUP(orders!$C$2:$C$1001,customers!$A$2:$A$1001,customers!$I$2:$I$1001,,0)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IF(_xlfn.XLOOKUP(C190,customers!$A:$A,customers!$C:$C,,0)=0,"",_xlfn.XLOOKUP(C190,customers!$A:$A,customers!$C:$C,,0))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2"/>
        <v>4.4550000000000001</v>
      </c>
      <c r="N190" t="s">
        <v>6198</v>
      </c>
      <c r="O190" t="str" cm="1">
        <f t="array" ref="O190">_xlfn.IFS(J190="M","Medium", J190="L","Light", J190="D","Dark")</f>
        <v>Light</v>
      </c>
      <c r="P190" t="str">
        <f>_xlfn.XLOOKUP(orders!$C$2:$C$1001,customers!$A$2:$A$1001,customers!$I$2:$I$1001,,0)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IF(_xlfn.XLOOKUP(C191,customers!$A:$A,customers!$C:$C,,0)=0,"",_xlfn.XLOOKUP(C191,customers!$A:$A,customers!$C:$C,,0))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2"/>
        <v>43.650000000000006</v>
      </c>
      <c r="N191" t="s">
        <v>6200</v>
      </c>
      <c r="O191" t="str" cm="1">
        <f t="array" ref="O191">_xlfn.IFS(J191="M","Medium", J191="L","Light", J191="D","Dark")</f>
        <v>Medium</v>
      </c>
      <c r="P191" t="str">
        <f>_xlfn.XLOOKUP(orders!$C$2:$C$1001,customers!$A$2:$A$1001,customers!$I$2:$I$1001,,0)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IF(_xlfn.XLOOKUP(C192,customers!$A:$A,customers!$C:$C,,0)=0,"",_xlfn.XLOOKUP(C192,customers!$A:$A,customers!$C:$C,,0))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2"/>
        <v>33.464999999999996</v>
      </c>
      <c r="N192" t="s">
        <v>6200</v>
      </c>
      <c r="O192" t="str" cm="1">
        <f t="array" ref="O192">_xlfn.IFS(J192="M","Medium", J192="L","Light", J192="D","Dark")</f>
        <v>Medium</v>
      </c>
      <c r="P192" t="str">
        <f>_xlfn.XLOOKUP(orders!$C$2:$C$1001,customers!$A$2:$A$1001,customers!$I$2:$I$1001,,0)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IF(_xlfn.XLOOKUP(C193,customers!$A:$A,customers!$C:$C,,0)=0,"",_xlfn.XLOOKUP(C193,customers!$A:$A,customers!$C:$C,,0))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2"/>
        <v>19.424999999999997</v>
      </c>
      <c r="N193" t="s">
        <v>6200</v>
      </c>
      <c r="O193" t="str" cm="1">
        <f t="array" ref="O193">_xlfn.IFS(J193="M","Medium", J193="L","Light", J193="D","Dark")</f>
        <v>Dark</v>
      </c>
      <c r="P193" t="str">
        <f>_xlfn.XLOOKUP(orders!$C$2:$C$1001,customers!$A$2:$A$1001,customers!$I$2:$I$1001,,0)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IF(_xlfn.XLOOKUP(C194,customers!$A:$A,customers!$C:$C,,0)=0,"",_xlfn.XLOOKUP(C194,customers!$A:$A,customers!$C:$C,,0))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2"/>
        <v>72.900000000000006</v>
      </c>
      <c r="N194" t="s">
        <v>6198</v>
      </c>
      <c r="O194" t="str" cm="1">
        <f t="array" ref="O194">_xlfn.IFS(J194="M","Medium", J194="L","Light", J194="D","Dark")</f>
        <v>Dark</v>
      </c>
      <c r="P194" t="str">
        <f>_xlfn.XLOOKUP(orders!$C$2:$C$1001,customers!$A$2:$A$1001,customers!$I$2:$I$1001,,0)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IF(_xlfn.XLOOKUP(C195,customers!$A:$A,customers!$C:$C,,0)=0,"",_xlfn.XLOOKUP(C195,customers!$A:$A,customers!$C:$C,,0))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3">L195*E195</f>
        <v>44.55</v>
      </c>
      <c r="N195" t="s">
        <v>6198</v>
      </c>
      <c r="O195" t="str" cm="1">
        <f t="array" ref="O195">_xlfn.IFS(J195="M","Medium", J195="L","Light", J195="D","Dark")</f>
        <v>Light</v>
      </c>
      <c r="P195" t="str">
        <f>_xlfn.XLOOKUP(orders!$C$2:$C$1001,customers!$A$2:$A$1001,customers!$I$2:$I$1001,,0)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IF(_xlfn.XLOOKUP(C196,customers!$A:$A,customers!$C:$C,,0)=0,"",_xlfn.XLOOKUP(C196,customers!$A:$A,customers!$C:$C,,0))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3"/>
        <v>36.450000000000003</v>
      </c>
      <c r="N196" t="s">
        <v>6198</v>
      </c>
      <c r="O196" t="str" cm="1">
        <f t="array" ref="O196">_xlfn.IFS(J196="M","Medium", J196="L","Light", J196="D","Dark")</f>
        <v>Dark</v>
      </c>
      <c r="P196" t="str">
        <f>_xlfn.XLOOKUP(orders!$C$2:$C$1001,customers!$A$2:$A$1001,customers!$I$2:$I$1001,,0)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IF(_xlfn.XLOOKUP(C197,customers!$A:$A,customers!$C:$C,,0)=0,"",_xlfn.XLOOKUP(C197,customers!$A:$A,customers!$C:$C,,0))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3"/>
        <v>38.849999999999994</v>
      </c>
      <c r="N197" t="s">
        <v>6199</v>
      </c>
      <c r="O197" t="str" cm="1">
        <f t="array" ref="O197">_xlfn.IFS(J197="M","Medium", J197="L","Light", J197="D","Dark")</f>
        <v>Light</v>
      </c>
      <c r="P197" t="str">
        <f>_xlfn.XLOOKUP(orders!$C$2:$C$1001,customers!$A$2:$A$1001,customers!$I$2:$I$1001,,0)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IF(_xlfn.XLOOKUP(C198,customers!$A:$A,customers!$C:$C,,0)=0,"",_xlfn.XLOOKUP(C198,customers!$A:$A,customers!$C:$C,,0))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3"/>
        <v>53.46</v>
      </c>
      <c r="N198" t="s">
        <v>6198</v>
      </c>
      <c r="O198" t="str" cm="1">
        <f t="array" ref="O198">_xlfn.IFS(J198="M","Medium", J198="L","Light", J198="D","Dark")</f>
        <v>Light</v>
      </c>
      <c r="P198" t="str">
        <f>_xlfn.XLOOKUP(orders!$C$2:$C$1001,customers!$A$2:$A$1001,customers!$I$2:$I$1001,,0)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IF(_xlfn.XLOOKUP(C199,customers!$A:$A,customers!$C:$C,,0)=0,"",_xlfn.XLOOKUP(C199,customers!$A:$A,customers!$C:$C,,0))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3"/>
        <v>59.569999999999993</v>
      </c>
      <c r="N199" t="s">
        <v>6200</v>
      </c>
      <c r="O199" t="str" cm="1">
        <f t="array" ref="O199">_xlfn.IFS(J199="M","Medium", J199="L","Light", J199="D","Dark")</f>
        <v>Dark</v>
      </c>
      <c r="P199" t="str">
        <f>_xlfn.XLOOKUP(orders!$C$2:$C$1001,customers!$A$2:$A$1001,customers!$I$2:$I$1001,,0)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IF(_xlfn.XLOOKUP(C200,customers!$A:$A,customers!$C:$C,,0)=0,"",_xlfn.XLOOKUP(C200,customers!$A:$A,customers!$C:$C,,0))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3"/>
        <v>89.35499999999999</v>
      </c>
      <c r="N200" t="s">
        <v>6200</v>
      </c>
      <c r="O200" t="str" cm="1">
        <f t="array" ref="O200">_xlfn.IFS(J200="M","Medium", J200="L","Light", J200="D","Dark")</f>
        <v>Dark</v>
      </c>
      <c r="P200" t="str">
        <f>_xlfn.XLOOKUP(orders!$C$2:$C$1001,customers!$A$2:$A$1001,customers!$I$2:$I$1001,,0)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IF(_xlfn.XLOOKUP(C201,customers!$A:$A,customers!$C:$C,,0)=0,"",_xlfn.XLOOKUP(C201,customers!$A:$A,customers!$C:$C,,0))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3"/>
        <v>38.04</v>
      </c>
      <c r="N201" t="s">
        <v>6200</v>
      </c>
      <c r="O201" t="str" cm="1">
        <f t="array" ref="O201">_xlfn.IFS(J201="M","Medium", J201="L","Light", J201="D","Dark")</f>
        <v>Light</v>
      </c>
      <c r="P201" t="str">
        <f>_xlfn.XLOOKUP(orders!$C$2:$C$1001,customers!$A$2:$A$1001,customers!$I$2:$I$1001,,0)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IF(_xlfn.XLOOKUP(C202,customers!$A:$A,customers!$C:$C,,0)=0,"",_xlfn.XLOOKUP(C202,customers!$A:$A,customers!$C:$C,,0))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3"/>
        <v>41.25</v>
      </c>
      <c r="N202" t="s">
        <v>6198</v>
      </c>
      <c r="O202" t="str" cm="1">
        <f t="array" ref="O202">_xlfn.IFS(J202="M","Medium", J202="L","Light", J202="D","Dark")</f>
        <v>Medium</v>
      </c>
      <c r="P202" t="str">
        <f>_xlfn.XLOOKUP(orders!$C$2:$C$1001,customers!$A$2:$A$1001,customers!$I$2:$I$1001,,0)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IF(_xlfn.XLOOKUP(C203,customers!$A:$A,customers!$C:$C,,0)=0,"",_xlfn.XLOOKUP(C203,customers!$A:$A,customers!$C:$C,,0))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3"/>
        <v>57.06</v>
      </c>
      <c r="N203" t="s">
        <v>6200</v>
      </c>
      <c r="O203" t="str" cm="1">
        <f t="array" ref="O203">_xlfn.IFS(J203="M","Medium", J203="L","Light", J203="D","Dark")</f>
        <v>Light</v>
      </c>
      <c r="P203" t="str">
        <f>_xlfn.XLOOKUP(orders!$C$2:$C$1001,customers!$A$2:$A$1001,customers!$I$2:$I$1001,,0)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IF(_xlfn.XLOOKUP(C204,customers!$A:$A,customers!$C:$C,,0)=0,"",_xlfn.XLOOKUP(C204,customers!$A:$A,customers!$C:$C,,0))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3"/>
        <v>178.70999999999998</v>
      </c>
      <c r="N204" t="s">
        <v>6200</v>
      </c>
      <c r="O204" t="str" cm="1">
        <f t="array" ref="O204">_xlfn.IFS(J204="M","Medium", J204="L","Light", J204="D","Dark")</f>
        <v>Dark</v>
      </c>
      <c r="P204" t="str">
        <f>_xlfn.XLOOKUP(orders!$C$2:$C$1001,customers!$A$2:$A$1001,customers!$I$2:$I$1001,,0)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IF(_xlfn.XLOOKUP(C205,customers!$A:$A,customers!$C:$C,,0)=0,"",_xlfn.XLOOKUP(C205,customers!$A:$A,customers!$C:$C,,0))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3"/>
        <v>4.7549999999999999</v>
      </c>
      <c r="N205" t="s">
        <v>6200</v>
      </c>
      <c r="O205" t="str" cm="1">
        <f t="array" ref="O205">_xlfn.IFS(J205="M","Medium", J205="L","Light", J205="D","Dark")</f>
        <v>Light</v>
      </c>
      <c r="P205" t="str">
        <f>_xlfn.XLOOKUP(orders!$C$2:$C$1001,customers!$A$2:$A$1001,customers!$I$2:$I$1001,,0)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IF(_xlfn.XLOOKUP(C206,customers!$A:$A,customers!$C:$C,,0)=0,"",_xlfn.XLOOKUP(C206,customers!$A:$A,customers!$C:$C,,0))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3"/>
        <v>82.5</v>
      </c>
      <c r="N206" t="s">
        <v>6198</v>
      </c>
      <c r="O206" t="str" cm="1">
        <f t="array" ref="O206">_xlfn.IFS(J206="M","Medium", J206="L","Light", J206="D","Dark")</f>
        <v>Medium</v>
      </c>
      <c r="P206" t="str">
        <f>_xlfn.XLOOKUP(orders!$C$2:$C$1001,customers!$A$2:$A$1001,customers!$I$2:$I$1001,,0)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IF(_xlfn.XLOOKUP(C207,customers!$A:$A,customers!$C:$C,,0)=0,"",_xlfn.XLOOKUP(C207,customers!$A:$A,customers!$C:$C,,0))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3"/>
        <v>8.0549999999999997</v>
      </c>
      <c r="N207" t="s">
        <v>6197</v>
      </c>
      <c r="O207" t="str" cm="1">
        <f t="array" ref="O207">_xlfn.IFS(J207="M","Medium", J207="L","Light", J207="D","Dark")</f>
        <v>Dark</v>
      </c>
      <c r="P207" t="str">
        <f>_xlfn.XLOOKUP(orders!$C$2:$C$1001,customers!$A$2:$A$1001,customers!$I$2:$I$1001,,0)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IF(_xlfn.XLOOKUP(C208,customers!$A:$A,customers!$C:$C,,0)=0,"",_xlfn.XLOOKUP(C208,customers!$A:$A,customers!$C:$C,,0))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3"/>
        <v>22.5</v>
      </c>
      <c r="N208" t="s">
        <v>6199</v>
      </c>
      <c r="O208" t="str" cm="1">
        <f t="array" ref="O208">_xlfn.IFS(J208="M","Medium", J208="L","Light", J208="D","Dark")</f>
        <v>Medium</v>
      </c>
      <c r="P208" t="str">
        <f>_xlfn.XLOOKUP(orders!$C$2:$C$1001,customers!$A$2:$A$1001,customers!$I$2:$I$1001,,0)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IF(_xlfn.XLOOKUP(C209,customers!$A:$A,customers!$C:$C,,0)=0,"",_xlfn.XLOOKUP(C209,customers!$A:$A,customers!$C:$C,,0))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3"/>
        <v>40.5</v>
      </c>
      <c r="N209" t="s">
        <v>6199</v>
      </c>
      <c r="O209" t="str" cm="1">
        <f t="array" ref="O209">_xlfn.IFS(J209="M","Medium", J209="L","Light", J209="D","Dark")</f>
        <v>Medium</v>
      </c>
      <c r="P209" t="str">
        <f>_xlfn.XLOOKUP(orders!$C$2:$C$1001,customers!$A$2:$A$1001,customers!$I$2:$I$1001,,0)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IF(_xlfn.XLOOKUP(C210,customers!$A:$A,customers!$C:$C,,0)=0,"",_xlfn.XLOOKUP(C210,customers!$A:$A,customers!$C:$C,,0))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3"/>
        <v>29.16</v>
      </c>
      <c r="N210" t="s">
        <v>6198</v>
      </c>
      <c r="O210" t="str" cm="1">
        <f t="array" ref="O210">_xlfn.IFS(J210="M","Medium", J210="L","Light", J210="D","Dark")</f>
        <v>Dark</v>
      </c>
      <c r="P210" t="str">
        <f>_xlfn.XLOOKUP(orders!$C$2:$C$1001,customers!$A$2:$A$1001,customers!$I$2:$I$1001,,0)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IF(_xlfn.XLOOKUP(C211,customers!$A:$A,customers!$C:$C,,0)=0,"",_xlfn.XLOOKUP(C211,customers!$A:$A,customers!$C:$C,,0))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3"/>
        <v>6.75</v>
      </c>
      <c r="N211" t="s">
        <v>6199</v>
      </c>
      <c r="O211" t="str" cm="1">
        <f t="array" ref="O211">_xlfn.IFS(J211="M","Medium", J211="L","Light", J211="D","Dark")</f>
        <v>Medium</v>
      </c>
      <c r="P211" t="str">
        <f>_xlfn.XLOOKUP(orders!$C$2:$C$1001,customers!$A$2:$A$1001,customers!$I$2:$I$1001,,0)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IF(_xlfn.XLOOKUP(C212,customers!$A:$A,customers!$C:$C,,0)=0,"",_xlfn.XLOOKUP(C212,customers!$A:$A,customers!$C:$C,,0))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3"/>
        <v>51.8</v>
      </c>
      <c r="N212" t="s">
        <v>6200</v>
      </c>
      <c r="O212" t="str" cm="1">
        <f t="array" ref="O212">_xlfn.IFS(J212="M","Medium", J212="L","Light", J212="D","Dark")</f>
        <v>Dark</v>
      </c>
      <c r="P212" t="str">
        <f>_xlfn.XLOOKUP(orders!$C$2:$C$1001,customers!$A$2:$A$1001,customers!$I$2:$I$1001,,0)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IF(_xlfn.XLOOKUP(C213,customers!$A:$A,customers!$C:$C,,0)=0,"",_xlfn.XLOOKUP(C213,customers!$A:$A,customers!$C:$C,,0))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3"/>
        <v>53.46</v>
      </c>
      <c r="N213" t="s">
        <v>6198</v>
      </c>
      <c r="O213" t="str" cm="1">
        <f t="array" ref="O213">_xlfn.IFS(J213="M","Medium", J213="L","Light", J213="D","Dark")</f>
        <v>Light</v>
      </c>
      <c r="P213" t="str">
        <f>_xlfn.XLOOKUP(orders!$C$2:$C$1001,customers!$A$2:$A$1001,customers!$I$2:$I$1001,,0)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IF(_xlfn.XLOOKUP(C214,customers!$A:$A,customers!$C:$C,,0)=0,"",_xlfn.XLOOKUP(C214,customers!$A:$A,customers!$C:$C,,0))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3"/>
        <v>14.58</v>
      </c>
      <c r="N214" t="s">
        <v>6198</v>
      </c>
      <c r="O214" t="str" cm="1">
        <f t="array" ref="O214">_xlfn.IFS(J214="M","Medium", J214="L","Light", J214="D","Dark")</f>
        <v>Dark</v>
      </c>
      <c r="P214" t="str">
        <f>_xlfn.XLOOKUP(orders!$C$2:$C$1001,customers!$A$2:$A$1001,customers!$I$2:$I$1001,,0)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IF(_xlfn.XLOOKUP(C215,customers!$A:$A,customers!$C:$C,,0)=0,"",_xlfn.XLOOKUP(C215,customers!$A:$A,customers!$C:$C,,0))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3"/>
        <v>20.584999999999997</v>
      </c>
      <c r="N215" t="s">
        <v>6197</v>
      </c>
      <c r="O215" t="str" cm="1">
        <f t="array" ref="O215">_xlfn.IFS(J215="M","Medium", J215="L","Light", J215="D","Dark")</f>
        <v>Dark</v>
      </c>
      <c r="P215" t="str">
        <f>_xlfn.XLOOKUP(orders!$C$2:$C$1001,customers!$A$2:$A$1001,customers!$I$2:$I$1001,,0)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IF(_xlfn.XLOOKUP(C216,customers!$A:$A,customers!$C:$C,,0)=0,"",_xlfn.XLOOKUP(C216,customers!$A:$A,customers!$C:$C,,0))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3"/>
        <v>31.7</v>
      </c>
      <c r="N216" t="s">
        <v>6200</v>
      </c>
      <c r="O216" t="str" cm="1">
        <f t="array" ref="O216">_xlfn.IFS(J216="M","Medium", J216="L","Light", J216="D","Dark")</f>
        <v>Light</v>
      </c>
      <c r="P216" t="str">
        <f>_xlfn.XLOOKUP(orders!$C$2:$C$1001,customers!$A$2:$A$1001,customers!$I$2:$I$1001,,0)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IF(_xlfn.XLOOKUP(C217,customers!$A:$A,customers!$C:$C,,0)=0,"",_xlfn.XLOOKUP(C217,customers!$A:$A,customers!$C:$C,,0))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3"/>
        <v>23.31</v>
      </c>
      <c r="N217" t="s">
        <v>6200</v>
      </c>
      <c r="O217" t="str" cm="1">
        <f t="array" ref="O217">_xlfn.IFS(J217="M","Medium", J217="L","Light", J217="D","Dark")</f>
        <v>Dark</v>
      </c>
      <c r="P217" t="str">
        <f>_xlfn.XLOOKUP(orders!$C$2:$C$1001,customers!$A$2:$A$1001,customers!$I$2:$I$1001,,0)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IF(_xlfn.XLOOKUP(C218,customers!$A:$A,customers!$C:$C,,0)=0,"",_xlfn.XLOOKUP(C218,customers!$A:$A,customers!$C:$C,,0))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3"/>
        <v>58.2</v>
      </c>
      <c r="N218" t="s">
        <v>6200</v>
      </c>
      <c r="O218" t="str" cm="1">
        <f t="array" ref="O218">_xlfn.IFS(J218="M","Medium", J218="L","Light", J218="D","Dark")</f>
        <v>Medium</v>
      </c>
      <c r="P218" t="str">
        <f>_xlfn.XLOOKUP(orders!$C$2:$C$1001,customers!$A$2:$A$1001,customers!$I$2:$I$1001,,0)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IF(_xlfn.XLOOKUP(C219,customers!$A:$A,customers!$C:$C,,0)=0,"",_xlfn.XLOOKUP(C219,customers!$A:$A,customers!$C:$C,,0))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3"/>
        <v>35.64</v>
      </c>
      <c r="N219" t="s">
        <v>6198</v>
      </c>
      <c r="O219" t="str" cm="1">
        <f t="array" ref="O219">_xlfn.IFS(J219="M","Medium", J219="L","Light", J219="D","Dark")</f>
        <v>Light</v>
      </c>
      <c r="P219" t="str">
        <f>_xlfn.XLOOKUP(orders!$C$2:$C$1001,customers!$A$2:$A$1001,customers!$I$2:$I$1001,,0)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IF(_xlfn.XLOOKUP(C220,customers!$A:$A,customers!$C:$C,,0)=0,"",_xlfn.XLOOKUP(C220,customers!$A:$A,customers!$C:$C,,0))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3"/>
        <v>56.25</v>
      </c>
      <c r="N220" t="s">
        <v>6199</v>
      </c>
      <c r="O220" t="str" cm="1">
        <f t="array" ref="O220">_xlfn.IFS(J220="M","Medium", J220="L","Light", J220="D","Dark")</f>
        <v>Medium</v>
      </c>
      <c r="P220" t="str">
        <f>_xlfn.XLOOKUP(orders!$C$2:$C$1001,customers!$A$2:$A$1001,customers!$I$2:$I$1001,,0)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IF(_xlfn.XLOOKUP(C221,customers!$A:$A,customers!$C:$C,,0)=0,"",_xlfn.XLOOKUP(C221,customers!$A:$A,customers!$C:$C,,0))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3"/>
        <v>10.754999999999999</v>
      </c>
      <c r="N221" t="s">
        <v>6197</v>
      </c>
      <c r="O221" t="str" cm="1">
        <f t="array" ref="O221">_xlfn.IFS(J221="M","Medium", J221="L","Light", J221="D","Dark")</f>
        <v>Light</v>
      </c>
      <c r="P221" t="str">
        <f>_xlfn.XLOOKUP(orders!$C$2:$C$1001,customers!$A$2:$A$1001,customers!$I$2:$I$1001,,0)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IF(_xlfn.XLOOKUP(C222,customers!$A:$A,customers!$C:$C,,0)=0,"",_xlfn.XLOOKUP(C222,customers!$A:$A,customers!$C:$C,,0))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3"/>
        <v>14.924999999999999</v>
      </c>
      <c r="N222" t="s">
        <v>6197</v>
      </c>
      <c r="O222" t="str" cm="1">
        <f t="array" ref="O222">_xlfn.IFS(J222="M","Medium", J222="L","Light", J222="D","Dark")</f>
        <v>Medium</v>
      </c>
      <c r="P222" t="str">
        <f>_xlfn.XLOOKUP(orders!$C$2:$C$1001,customers!$A$2:$A$1001,customers!$I$2:$I$1001,,0)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IF(_xlfn.XLOOKUP(C223,customers!$A:$A,customers!$C:$C,,0)=0,"",_xlfn.XLOOKUP(C223,customers!$A:$A,customers!$C:$C,,0))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3"/>
        <v>77.699999999999989</v>
      </c>
      <c r="N223" t="s">
        <v>6199</v>
      </c>
      <c r="O223" t="str" cm="1">
        <f t="array" ref="O223">_xlfn.IFS(J223="M","Medium", J223="L","Light", J223="D","Dark")</f>
        <v>Light</v>
      </c>
      <c r="P223" t="str">
        <f>_xlfn.XLOOKUP(orders!$C$2:$C$1001,customers!$A$2:$A$1001,customers!$I$2:$I$1001,,0)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IF(_xlfn.XLOOKUP(C224,customers!$A:$A,customers!$C:$C,,0)=0,"",_xlfn.XLOOKUP(C224,customers!$A:$A,customers!$C:$C,,0))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3"/>
        <v>23.31</v>
      </c>
      <c r="N224" t="s">
        <v>6200</v>
      </c>
      <c r="O224" t="str" cm="1">
        <f t="array" ref="O224">_xlfn.IFS(J224="M","Medium", J224="L","Light", J224="D","Dark")</f>
        <v>Dark</v>
      </c>
      <c r="P224" t="str">
        <f>_xlfn.XLOOKUP(orders!$C$2:$C$1001,customers!$A$2:$A$1001,customers!$I$2:$I$1001,,0)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IF(_xlfn.XLOOKUP(C225,customers!$A:$A,customers!$C:$C,,0)=0,"",_xlfn.XLOOKUP(C225,customers!$A:$A,customers!$C:$C,,0))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3"/>
        <v>59.4</v>
      </c>
      <c r="N225" t="s">
        <v>6198</v>
      </c>
      <c r="O225" t="str" cm="1">
        <f t="array" ref="O225">_xlfn.IFS(J225="M","Medium", J225="L","Light", J225="D","Dark")</f>
        <v>Light</v>
      </c>
      <c r="P225" t="str">
        <f>_xlfn.XLOOKUP(orders!$C$2:$C$1001,customers!$A$2:$A$1001,customers!$I$2:$I$1001,,0)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IF(_xlfn.XLOOKUP(C226,customers!$A:$A,customers!$C:$C,,0)=0,"",_xlfn.XLOOKUP(C226,customers!$A:$A,customers!$C:$C,,0))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3"/>
        <v>119.13999999999999</v>
      </c>
      <c r="N226" t="s">
        <v>6200</v>
      </c>
      <c r="O226" t="str" cm="1">
        <f t="array" ref="O226">_xlfn.IFS(J226="M","Medium", J226="L","Light", J226="D","Dark")</f>
        <v>Dark</v>
      </c>
      <c r="P226" t="str">
        <f>_xlfn.XLOOKUP(orders!$C$2:$C$1001,customers!$A$2:$A$1001,customers!$I$2:$I$1001,,0)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IF(_xlfn.XLOOKUP(C227,customers!$A:$A,customers!$C:$C,,0)=0,"",_xlfn.XLOOKUP(C227,customers!$A:$A,customers!$C:$C,,0))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3"/>
        <v>14.339999999999998</v>
      </c>
      <c r="N227" t="s">
        <v>6197</v>
      </c>
      <c r="O227" t="str" cm="1">
        <f t="array" ref="O227">_xlfn.IFS(J227="M","Medium", J227="L","Light", J227="D","Dark")</f>
        <v>Light</v>
      </c>
      <c r="P227" t="str">
        <f>_xlfn.XLOOKUP(orders!$C$2:$C$1001,customers!$A$2:$A$1001,customers!$I$2:$I$1001,,0)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IF(_xlfn.XLOOKUP(C228,customers!$A:$A,customers!$C:$C,,0)=0,"",_xlfn.XLOOKUP(C228,customers!$A:$A,customers!$C:$C,,0))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3"/>
        <v>129.37499999999997</v>
      </c>
      <c r="N228" t="s">
        <v>6199</v>
      </c>
      <c r="O228" t="str" cm="1">
        <f t="array" ref="O228">_xlfn.IFS(J228="M","Medium", J228="L","Light", J228="D","Dark")</f>
        <v>Medium</v>
      </c>
      <c r="P228" t="str">
        <f>_xlfn.XLOOKUP(orders!$C$2:$C$1001,customers!$A$2:$A$1001,customers!$I$2:$I$1001,,0)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IF(_xlfn.XLOOKUP(C229,customers!$A:$A,customers!$C:$C,,0)=0,"",_xlfn.XLOOKUP(C229,customers!$A:$A,customers!$C:$C,,0))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3"/>
        <v>16.11</v>
      </c>
      <c r="N229" t="s">
        <v>6197</v>
      </c>
      <c r="O229" t="str" cm="1">
        <f t="array" ref="O229">_xlfn.IFS(J229="M","Medium", J229="L","Light", J229="D","Dark")</f>
        <v>Dark</v>
      </c>
      <c r="P229" t="str">
        <f>_xlfn.XLOOKUP(orders!$C$2:$C$1001,customers!$A$2:$A$1001,customers!$I$2:$I$1001,,0)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IF(_xlfn.XLOOKUP(C230,customers!$A:$A,customers!$C:$C,,0)=0,"",_xlfn.XLOOKUP(C230,customers!$A:$A,customers!$C:$C,,0))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3"/>
        <v>17.924999999999997</v>
      </c>
      <c r="N230" t="s">
        <v>6197</v>
      </c>
      <c r="O230" t="str" cm="1">
        <f t="array" ref="O230">_xlfn.IFS(J230="M","Medium", J230="L","Light", J230="D","Dark")</f>
        <v>Light</v>
      </c>
      <c r="P230" t="str">
        <f>_xlfn.XLOOKUP(orders!$C$2:$C$1001,customers!$A$2:$A$1001,customers!$I$2:$I$1001,,0)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IF(_xlfn.XLOOKUP(C231,customers!$A:$A,customers!$C:$C,,0)=0,"",_xlfn.XLOOKUP(C231,customers!$A:$A,customers!$C:$C,,0))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3"/>
        <v>8.73</v>
      </c>
      <c r="N231" t="s">
        <v>6200</v>
      </c>
      <c r="O231" t="str" cm="1">
        <f t="array" ref="O231">_xlfn.IFS(J231="M","Medium", J231="L","Light", J231="D","Dark")</f>
        <v>Medium</v>
      </c>
      <c r="P231" t="str">
        <f>_xlfn.XLOOKUP(orders!$C$2:$C$1001,customers!$A$2:$A$1001,customers!$I$2:$I$1001,,0)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IF(_xlfn.XLOOKUP(C232,customers!$A:$A,customers!$C:$C,,0)=0,"",_xlfn.XLOOKUP(C232,customers!$A:$A,customers!$C:$C,,0))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3"/>
        <v>51.749999999999993</v>
      </c>
      <c r="N232" t="s">
        <v>6199</v>
      </c>
      <c r="O232" t="str" cm="1">
        <f t="array" ref="O232">_xlfn.IFS(J232="M","Medium", J232="L","Light", J232="D","Dark")</f>
        <v>Medium</v>
      </c>
      <c r="P232" t="str">
        <f>_xlfn.XLOOKUP(orders!$C$2:$C$1001,customers!$A$2:$A$1001,customers!$I$2:$I$1001,,0)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IF(_xlfn.XLOOKUP(C233,customers!$A:$A,customers!$C:$C,,0)=0,"",_xlfn.XLOOKUP(C233,customers!$A:$A,customers!$C:$C,,0))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3"/>
        <v>8.73</v>
      </c>
      <c r="N233" t="s">
        <v>6200</v>
      </c>
      <c r="O233" t="str" cm="1">
        <f t="array" ref="O233">_xlfn.IFS(J233="M","Medium", J233="L","Light", J233="D","Dark")</f>
        <v>Medium</v>
      </c>
      <c r="P233" t="str">
        <f>_xlfn.XLOOKUP(orders!$C$2:$C$1001,customers!$A$2:$A$1001,customers!$I$2:$I$1001,,0)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IF(_xlfn.XLOOKUP(C234,customers!$A:$A,customers!$C:$C,,0)=0,"",_xlfn.XLOOKUP(C234,customers!$A:$A,customers!$C:$C,,0))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3"/>
        <v>23.774999999999999</v>
      </c>
      <c r="N234" t="s">
        <v>6200</v>
      </c>
      <c r="O234" t="str" cm="1">
        <f t="array" ref="O234">_xlfn.IFS(J234="M","Medium", J234="L","Light", J234="D","Dark")</f>
        <v>Light</v>
      </c>
      <c r="P234" t="str">
        <f>_xlfn.XLOOKUP(orders!$C$2:$C$1001,customers!$A$2:$A$1001,customers!$I$2:$I$1001,,0)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IF(_xlfn.XLOOKUP(C235,customers!$A:$A,customers!$C:$C,,0)=0,"",_xlfn.XLOOKUP(C235,customers!$A:$A,customers!$C:$C,,0))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3"/>
        <v>20.625</v>
      </c>
      <c r="N235" t="s">
        <v>6198</v>
      </c>
      <c r="O235" t="str" cm="1">
        <f t="array" ref="O235">_xlfn.IFS(J235="M","Medium", J235="L","Light", J235="D","Dark")</f>
        <v>Medium</v>
      </c>
      <c r="P235" t="str">
        <f>_xlfn.XLOOKUP(orders!$C$2:$C$1001,customers!$A$2:$A$1001,customers!$I$2:$I$1001,,0)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IF(_xlfn.XLOOKUP(C236,customers!$A:$A,customers!$C:$C,,0)=0,"",_xlfn.XLOOKUP(C236,customers!$A:$A,customers!$C:$C,,0))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3"/>
        <v>36.454999999999998</v>
      </c>
      <c r="N236" t="s">
        <v>6200</v>
      </c>
      <c r="O236" t="str" cm="1">
        <f t="array" ref="O236">_xlfn.IFS(J236="M","Medium", J236="L","Light", J236="D","Dark")</f>
        <v>Light</v>
      </c>
      <c r="P236" t="str">
        <f>_xlfn.XLOOKUP(orders!$C$2:$C$1001,customers!$A$2:$A$1001,customers!$I$2:$I$1001,,0)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IF(_xlfn.XLOOKUP(C237,customers!$A:$A,customers!$C:$C,,0)=0,"",_xlfn.XLOOKUP(C237,customers!$A:$A,customers!$C:$C,,0))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3"/>
        <v>182.27499999999998</v>
      </c>
      <c r="N237" t="s">
        <v>6200</v>
      </c>
      <c r="O237" t="str" cm="1">
        <f t="array" ref="O237">_xlfn.IFS(J237="M","Medium", J237="L","Light", J237="D","Dark")</f>
        <v>Light</v>
      </c>
      <c r="P237" t="str">
        <f>_xlfn.XLOOKUP(orders!$C$2:$C$1001,customers!$A$2:$A$1001,customers!$I$2:$I$1001,,0)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IF(_xlfn.XLOOKUP(C238,customers!$A:$A,customers!$C:$C,,0)=0,"",_xlfn.XLOOKUP(C238,customers!$A:$A,customers!$C:$C,,0))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3"/>
        <v>89.35499999999999</v>
      </c>
      <c r="N238" t="s">
        <v>6200</v>
      </c>
      <c r="O238" t="str" cm="1">
        <f t="array" ref="O238">_xlfn.IFS(J238="M","Medium", J238="L","Light", J238="D","Dark")</f>
        <v>Dark</v>
      </c>
      <c r="P238" t="str">
        <f>_xlfn.XLOOKUP(orders!$C$2:$C$1001,customers!$A$2:$A$1001,customers!$I$2:$I$1001,,0)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IF(_xlfn.XLOOKUP(C239,customers!$A:$A,customers!$C:$C,,0)=0,"",_xlfn.XLOOKUP(C239,customers!$A:$A,customers!$C:$C,,0))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3"/>
        <v>3.5849999999999995</v>
      </c>
      <c r="N239" t="s">
        <v>6197</v>
      </c>
      <c r="O239" t="str" cm="1">
        <f t="array" ref="O239">_xlfn.IFS(J239="M","Medium", J239="L","Light", J239="D","Dark")</f>
        <v>Light</v>
      </c>
      <c r="P239" t="str">
        <f>_xlfn.XLOOKUP(orders!$C$2:$C$1001,customers!$A$2:$A$1001,customers!$I$2:$I$1001,,0)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IF(_xlfn.XLOOKUP(C240,customers!$A:$A,customers!$C:$C,,0)=0,"",_xlfn.XLOOKUP(C240,customers!$A:$A,customers!$C:$C,,0))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3"/>
        <v>45.769999999999996</v>
      </c>
      <c r="N240" t="s">
        <v>6197</v>
      </c>
      <c r="O240" t="str" cm="1">
        <f t="array" ref="O240">_xlfn.IFS(J240="M","Medium", J240="L","Light", J240="D","Dark")</f>
        <v>Medium</v>
      </c>
      <c r="P240" t="str">
        <f>_xlfn.XLOOKUP(orders!$C$2:$C$1001,customers!$A$2:$A$1001,customers!$I$2:$I$1001,,0)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IF(_xlfn.XLOOKUP(C241,customers!$A:$A,customers!$C:$C,,0)=0,"",_xlfn.XLOOKUP(C241,customers!$A:$A,customers!$C:$C,,0))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3"/>
        <v>59.4</v>
      </c>
      <c r="N241" t="s">
        <v>6198</v>
      </c>
      <c r="O241" t="str" cm="1">
        <f t="array" ref="O241">_xlfn.IFS(J241="M","Medium", J241="L","Light", J241="D","Dark")</f>
        <v>Light</v>
      </c>
      <c r="P241" t="str">
        <f>_xlfn.XLOOKUP(orders!$C$2:$C$1001,customers!$A$2:$A$1001,customers!$I$2:$I$1001,,0)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IF(_xlfn.XLOOKUP(C242,customers!$A:$A,customers!$C:$C,,0)=0,"",_xlfn.XLOOKUP(C242,customers!$A:$A,customers!$C:$C,,0))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3"/>
        <v>155.24999999999997</v>
      </c>
      <c r="N242" t="s">
        <v>6199</v>
      </c>
      <c r="O242" t="str" cm="1">
        <f t="array" ref="O242">_xlfn.IFS(J242="M","Medium", J242="L","Light", J242="D","Dark")</f>
        <v>Medium</v>
      </c>
      <c r="P242" t="str">
        <f>_xlfn.XLOOKUP(orders!$C$2:$C$1001,customers!$A$2:$A$1001,customers!$I$2:$I$1001,,0)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IF(_xlfn.XLOOKUP(C243,customers!$A:$A,customers!$C:$C,,0)=0,"",_xlfn.XLOOKUP(C243,customers!$A:$A,customers!$C:$C,,0))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3"/>
        <v>45.769999999999996</v>
      </c>
      <c r="N243" t="s">
        <v>6197</v>
      </c>
      <c r="O243" t="str" cm="1">
        <f t="array" ref="O243">_xlfn.IFS(J243="M","Medium", J243="L","Light", J243="D","Dark")</f>
        <v>Medium</v>
      </c>
      <c r="P243" t="str">
        <f>_xlfn.XLOOKUP(orders!$C$2:$C$1001,customers!$A$2:$A$1001,customers!$I$2:$I$1001,,0)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IF(_xlfn.XLOOKUP(C244,customers!$A:$A,customers!$C:$C,,0)=0,"",_xlfn.XLOOKUP(C244,customers!$A:$A,customers!$C:$C,,0))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3"/>
        <v>36.450000000000003</v>
      </c>
      <c r="N244" t="s">
        <v>6198</v>
      </c>
      <c r="O244" t="str" cm="1">
        <f t="array" ref="O244">_xlfn.IFS(J244="M","Medium", J244="L","Light", J244="D","Dark")</f>
        <v>Dark</v>
      </c>
      <c r="P244" t="str">
        <f>_xlfn.XLOOKUP(orders!$C$2:$C$1001,customers!$A$2:$A$1001,customers!$I$2:$I$1001,,0)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IF(_xlfn.XLOOKUP(C245,customers!$A:$A,customers!$C:$C,,0)=0,"",_xlfn.XLOOKUP(C245,customers!$A:$A,customers!$C:$C,,0))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3"/>
        <v>29.16</v>
      </c>
      <c r="N245" t="s">
        <v>6198</v>
      </c>
      <c r="O245" t="str" cm="1">
        <f t="array" ref="O245">_xlfn.IFS(J245="M","Medium", J245="L","Light", J245="D","Dark")</f>
        <v>Dark</v>
      </c>
      <c r="P245" t="str">
        <f>_xlfn.XLOOKUP(orders!$C$2:$C$1001,customers!$A$2:$A$1001,customers!$I$2:$I$1001,,0)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IF(_xlfn.XLOOKUP(C246,customers!$A:$A,customers!$C:$C,,0)=0,"",_xlfn.XLOOKUP(C246,customers!$A:$A,customers!$C:$C,,0))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3"/>
        <v>133.85999999999999</v>
      </c>
      <c r="N246" t="s">
        <v>6200</v>
      </c>
      <c r="O246" t="str" cm="1">
        <f t="array" ref="O246">_xlfn.IFS(J246="M","Medium", J246="L","Light", J246="D","Dark")</f>
        <v>Medium</v>
      </c>
      <c r="P246" t="str">
        <f>_xlfn.XLOOKUP(orders!$C$2:$C$1001,customers!$A$2:$A$1001,customers!$I$2:$I$1001,,0)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IF(_xlfn.XLOOKUP(C247,customers!$A:$A,customers!$C:$C,,0)=0,"",_xlfn.XLOOKUP(C247,customers!$A:$A,customers!$C:$C,,0))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3"/>
        <v>23.774999999999999</v>
      </c>
      <c r="N247" t="s">
        <v>6200</v>
      </c>
      <c r="O247" t="str" cm="1">
        <f t="array" ref="O247">_xlfn.IFS(J247="M","Medium", J247="L","Light", J247="D","Dark")</f>
        <v>Light</v>
      </c>
      <c r="P247" t="str">
        <f>_xlfn.XLOOKUP(orders!$C$2:$C$1001,customers!$A$2:$A$1001,customers!$I$2:$I$1001,,0)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IF(_xlfn.XLOOKUP(C248,customers!$A:$A,customers!$C:$C,,0)=0,"",_xlfn.XLOOKUP(C248,customers!$A:$A,customers!$C:$C,,0))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3"/>
        <v>38.849999999999994</v>
      </c>
      <c r="N248" t="s">
        <v>6200</v>
      </c>
      <c r="O248" t="str" cm="1">
        <f t="array" ref="O248">_xlfn.IFS(J248="M","Medium", J248="L","Light", J248="D","Dark")</f>
        <v>Dark</v>
      </c>
      <c r="P248" t="str">
        <f>_xlfn.XLOOKUP(orders!$C$2:$C$1001,customers!$A$2:$A$1001,customers!$I$2:$I$1001,,0)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IF(_xlfn.XLOOKUP(C249,customers!$A:$A,customers!$C:$C,,0)=0,"",_xlfn.XLOOKUP(C249,customers!$A:$A,customers!$C:$C,,0))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3"/>
        <v>21.509999999999998</v>
      </c>
      <c r="N249" t="s">
        <v>6197</v>
      </c>
      <c r="O249" t="str" cm="1">
        <f t="array" ref="O249">_xlfn.IFS(J249="M","Medium", J249="L","Light", J249="D","Dark")</f>
        <v>Light</v>
      </c>
      <c r="P249" t="str">
        <f>_xlfn.XLOOKUP(orders!$C$2:$C$1001,customers!$A$2:$A$1001,customers!$I$2:$I$1001,,0)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IF(_xlfn.XLOOKUP(C250,customers!$A:$A,customers!$C:$C,,0)=0,"",_xlfn.XLOOKUP(C250,customers!$A:$A,customers!$C:$C,,0))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3"/>
        <v>9.9499999999999993</v>
      </c>
      <c r="N250" t="s">
        <v>6199</v>
      </c>
      <c r="O250" t="str" cm="1">
        <f t="array" ref="O250">_xlfn.IFS(J250="M","Medium", J250="L","Light", J250="D","Dark")</f>
        <v>Dark</v>
      </c>
      <c r="P250" t="str">
        <f>_xlfn.XLOOKUP(orders!$C$2:$C$1001,customers!$A$2:$A$1001,customers!$I$2:$I$1001,,0)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IF(_xlfn.XLOOKUP(C251,customers!$A:$A,customers!$C:$C,,0)=0,"",_xlfn.XLOOKUP(C251,customers!$A:$A,customers!$C:$C,,0))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3"/>
        <v>15.85</v>
      </c>
      <c r="N251" t="s">
        <v>6200</v>
      </c>
      <c r="O251" t="str" cm="1">
        <f t="array" ref="O251">_xlfn.IFS(J251="M","Medium", J251="L","Light", J251="D","Dark")</f>
        <v>Light</v>
      </c>
      <c r="P251" t="str">
        <f>_xlfn.XLOOKUP(orders!$C$2:$C$1001,customers!$A$2:$A$1001,customers!$I$2:$I$1001,,0)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IF(_xlfn.XLOOKUP(C252,customers!$A:$A,customers!$C:$C,,0)=0,"",_xlfn.XLOOKUP(C252,customers!$A:$A,customers!$C:$C,,0))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3"/>
        <v>2.9849999999999999</v>
      </c>
      <c r="N252" t="s">
        <v>6197</v>
      </c>
      <c r="O252" t="str" cm="1">
        <f t="array" ref="O252">_xlfn.IFS(J252="M","Medium", J252="L","Light", J252="D","Dark")</f>
        <v>Medium</v>
      </c>
      <c r="P252" t="str">
        <f>_xlfn.XLOOKUP(orders!$C$2:$C$1001,customers!$A$2:$A$1001,customers!$I$2:$I$1001,,0)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IF(_xlfn.XLOOKUP(C253,customers!$A:$A,customers!$C:$C,,0)=0,"",_xlfn.XLOOKUP(C253,customers!$A:$A,customers!$C:$C,,0))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3"/>
        <v>68.75</v>
      </c>
      <c r="N253" t="s">
        <v>6198</v>
      </c>
      <c r="O253" t="str" cm="1">
        <f t="array" ref="O253">_xlfn.IFS(J253="M","Medium", J253="L","Light", J253="D","Dark")</f>
        <v>Medium</v>
      </c>
      <c r="P253" t="str">
        <f>_xlfn.XLOOKUP(orders!$C$2:$C$1001,customers!$A$2:$A$1001,customers!$I$2:$I$1001,,0)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IF(_xlfn.XLOOKUP(C254,customers!$A:$A,customers!$C:$C,,0)=0,"",_xlfn.XLOOKUP(C254,customers!$A:$A,customers!$C:$C,,0))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3"/>
        <v>29.849999999999998</v>
      </c>
      <c r="N254" t="s">
        <v>6199</v>
      </c>
      <c r="O254" t="str" cm="1">
        <f t="array" ref="O254">_xlfn.IFS(J254="M","Medium", J254="L","Light", J254="D","Dark")</f>
        <v>Dark</v>
      </c>
      <c r="P254" t="str">
        <f>_xlfn.XLOOKUP(orders!$C$2:$C$1001,customers!$A$2:$A$1001,customers!$I$2:$I$1001,,0)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IF(_xlfn.XLOOKUP(C255,customers!$A:$A,customers!$C:$C,,0)=0,"",_xlfn.XLOOKUP(C255,customers!$A:$A,customers!$C:$C,,0))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3"/>
        <v>58.2</v>
      </c>
      <c r="N255" t="s">
        <v>6200</v>
      </c>
      <c r="O255" t="str" cm="1">
        <f t="array" ref="O255">_xlfn.IFS(J255="M","Medium", J255="L","Light", J255="D","Dark")</f>
        <v>Medium</v>
      </c>
      <c r="P255" t="str">
        <f>_xlfn.XLOOKUP(orders!$C$2:$C$1001,customers!$A$2:$A$1001,customers!$I$2:$I$1001,,0)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IF(_xlfn.XLOOKUP(C256,customers!$A:$A,customers!$C:$C,,0)=0,"",_xlfn.XLOOKUP(C256,customers!$A:$A,customers!$C:$C,,0))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3"/>
        <v>28.679999999999996</v>
      </c>
      <c r="N256" t="s">
        <v>6197</v>
      </c>
      <c r="O256" t="str" cm="1">
        <f t="array" ref="O256">_xlfn.IFS(J256="M","Medium", J256="L","Light", J256="D","Dark")</f>
        <v>Light</v>
      </c>
      <c r="P256" t="str">
        <f>_xlfn.XLOOKUP(orders!$C$2:$C$1001,customers!$A$2:$A$1001,customers!$I$2:$I$1001,,0)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IF(_xlfn.XLOOKUP(C257,customers!$A:$A,customers!$C:$C,,0)=0,"",_xlfn.XLOOKUP(C257,customers!$A:$A,customers!$C:$C,,0))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3"/>
        <v>21.509999999999998</v>
      </c>
      <c r="N257" t="s">
        <v>6197</v>
      </c>
      <c r="O257" t="str" cm="1">
        <f t="array" ref="O257">_xlfn.IFS(J257="M","Medium", J257="L","Light", J257="D","Dark")</f>
        <v>Light</v>
      </c>
      <c r="P257" t="str">
        <f>_xlfn.XLOOKUP(orders!$C$2:$C$1001,customers!$A$2:$A$1001,customers!$I$2:$I$1001,,0)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IF(_xlfn.XLOOKUP(C258,customers!$A:$A,customers!$C:$C,,0)=0,"",_xlfn.XLOOKUP(C258,customers!$A:$A,customers!$C:$C,,0))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3"/>
        <v>17.46</v>
      </c>
      <c r="N258" t="s">
        <v>6200</v>
      </c>
      <c r="O258" t="str" cm="1">
        <f t="array" ref="O258">_xlfn.IFS(J258="M","Medium", J258="L","Light", J258="D","Dark")</f>
        <v>Medium</v>
      </c>
      <c r="P258" t="str">
        <f>_xlfn.XLOOKUP(orders!$C$2:$C$1001,customers!$A$2:$A$1001,customers!$I$2:$I$1001,,0)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IF(_xlfn.XLOOKUP(C259,customers!$A:$A,customers!$C:$C,,0)=0,"",_xlfn.XLOOKUP(C259,customers!$A:$A,customers!$C:$C,,0))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4">L259*E259</f>
        <v>27.945</v>
      </c>
      <c r="N259" t="s">
        <v>6198</v>
      </c>
      <c r="O259" t="str" cm="1">
        <f t="array" ref="O259">_xlfn.IFS(J259="M","Medium", J259="L","Light", J259="D","Dark")</f>
        <v>Dark</v>
      </c>
      <c r="P259" t="str">
        <f>_xlfn.XLOOKUP(orders!$C$2:$C$1001,customers!$A$2:$A$1001,customers!$I$2:$I$1001,,0)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IF(_xlfn.XLOOKUP(C260,customers!$A:$A,customers!$C:$C,,0)=0,"",_xlfn.XLOOKUP(C260,customers!$A:$A,customers!$C:$C,,0))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4"/>
        <v>139.72499999999999</v>
      </c>
      <c r="N260" t="s">
        <v>6198</v>
      </c>
      <c r="O260" t="str" cm="1">
        <f t="array" ref="O260">_xlfn.IFS(J260="M","Medium", J260="L","Light", J260="D","Dark")</f>
        <v>Dark</v>
      </c>
      <c r="P260" t="str">
        <f>_xlfn.XLOOKUP(orders!$C$2:$C$1001,customers!$A$2:$A$1001,customers!$I$2:$I$1001,,0)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IF(_xlfn.XLOOKUP(C261,customers!$A:$A,customers!$C:$C,,0)=0,"",_xlfn.XLOOKUP(C261,customers!$A:$A,customers!$C:$C,,0))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4"/>
        <v>5.97</v>
      </c>
      <c r="N261" t="s">
        <v>6197</v>
      </c>
      <c r="O261" t="str" cm="1">
        <f t="array" ref="O261">_xlfn.IFS(J261="M","Medium", J261="L","Light", J261="D","Dark")</f>
        <v>Medium</v>
      </c>
      <c r="P261" t="str">
        <f>_xlfn.XLOOKUP(orders!$C$2:$C$1001,customers!$A$2:$A$1001,customers!$I$2:$I$1001,,0)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IF(_xlfn.XLOOKUP(C262,customers!$A:$A,customers!$C:$C,,0)=0,"",_xlfn.XLOOKUP(C262,customers!$A:$A,customers!$C:$C,,0))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4"/>
        <v>27.484999999999996</v>
      </c>
      <c r="N262" t="s">
        <v>6197</v>
      </c>
      <c r="O262" t="str" cm="1">
        <f t="array" ref="O262">_xlfn.IFS(J262="M","Medium", J262="L","Light", J262="D","Dark")</f>
        <v>Light</v>
      </c>
      <c r="P262" t="str">
        <f>_xlfn.XLOOKUP(orders!$C$2:$C$1001,customers!$A$2:$A$1001,customers!$I$2:$I$1001,,0)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IF(_xlfn.XLOOKUP(C263,customers!$A:$A,customers!$C:$C,,0)=0,"",_xlfn.XLOOKUP(C263,customers!$A:$A,customers!$C:$C,,0))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4"/>
        <v>59.75</v>
      </c>
      <c r="N263" t="s">
        <v>6197</v>
      </c>
      <c r="O263" t="str" cm="1">
        <f t="array" ref="O263">_xlfn.IFS(J263="M","Medium", J263="L","Light", J263="D","Dark")</f>
        <v>Light</v>
      </c>
      <c r="P263" t="str">
        <f>_xlfn.XLOOKUP(orders!$C$2:$C$1001,customers!$A$2:$A$1001,customers!$I$2:$I$1001,,0)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IF(_xlfn.XLOOKUP(C264,customers!$A:$A,customers!$C:$C,,0)=0,"",_xlfn.XLOOKUP(C264,customers!$A:$A,customers!$C:$C,,0))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4"/>
        <v>41.25</v>
      </c>
      <c r="N264" t="s">
        <v>6198</v>
      </c>
      <c r="O264" t="str" cm="1">
        <f t="array" ref="O264">_xlfn.IFS(J264="M","Medium", J264="L","Light", J264="D","Dark")</f>
        <v>Medium</v>
      </c>
      <c r="P264" t="str">
        <f>_xlfn.XLOOKUP(orders!$C$2:$C$1001,customers!$A$2:$A$1001,customers!$I$2:$I$1001,,0)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IF(_xlfn.XLOOKUP(C265,customers!$A:$A,customers!$C:$C,,0)=0,"",_xlfn.XLOOKUP(C265,customers!$A:$A,customers!$C:$C,,0))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4"/>
        <v>133.85999999999999</v>
      </c>
      <c r="N265" t="s">
        <v>6200</v>
      </c>
      <c r="O265" t="str" cm="1">
        <f t="array" ref="O265">_xlfn.IFS(J265="M","Medium", J265="L","Light", J265="D","Dark")</f>
        <v>Medium</v>
      </c>
      <c r="P265" t="str">
        <f>_xlfn.XLOOKUP(orders!$C$2:$C$1001,customers!$A$2:$A$1001,customers!$I$2:$I$1001,,0)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IF(_xlfn.XLOOKUP(C266,customers!$A:$A,customers!$C:$C,,0)=0,"",_xlfn.XLOOKUP(C266,customers!$A:$A,customers!$C:$C,,0))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4"/>
        <v>59.75</v>
      </c>
      <c r="N266" t="s">
        <v>6197</v>
      </c>
      <c r="O266" t="str" cm="1">
        <f t="array" ref="O266">_xlfn.IFS(J266="M","Medium", J266="L","Light", J266="D","Dark")</f>
        <v>Light</v>
      </c>
      <c r="P266" t="str">
        <f>_xlfn.XLOOKUP(orders!$C$2:$C$1001,customers!$A$2:$A$1001,customers!$I$2:$I$1001,,0)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IF(_xlfn.XLOOKUP(C267,customers!$A:$A,customers!$C:$C,,0)=0,"",_xlfn.XLOOKUP(C267,customers!$A:$A,customers!$C:$C,,0))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4"/>
        <v>5.97</v>
      </c>
      <c r="N267" t="s">
        <v>6199</v>
      </c>
      <c r="O267" t="str" cm="1">
        <f t="array" ref="O267">_xlfn.IFS(J267="M","Medium", J267="L","Light", J267="D","Dark")</f>
        <v>Dark</v>
      </c>
      <c r="P267" t="str">
        <f>_xlfn.XLOOKUP(orders!$C$2:$C$1001,customers!$A$2:$A$1001,customers!$I$2:$I$1001,,0)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IF(_xlfn.XLOOKUP(C268,customers!$A:$A,customers!$C:$C,,0)=0,"",_xlfn.XLOOKUP(C268,customers!$A:$A,customers!$C:$C,,0))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4"/>
        <v>24.3</v>
      </c>
      <c r="N268" t="s">
        <v>6198</v>
      </c>
      <c r="O268" t="str" cm="1">
        <f t="array" ref="O268">_xlfn.IFS(J268="M","Medium", J268="L","Light", J268="D","Dark")</f>
        <v>Dark</v>
      </c>
      <c r="P268" t="str">
        <f>_xlfn.XLOOKUP(orders!$C$2:$C$1001,customers!$A$2:$A$1001,customers!$I$2:$I$1001,,0)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IF(_xlfn.XLOOKUP(C269,customers!$A:$A,customers!$C:$C,,0)=0,"",_xlfn.XLOOKUP(C269,customers!$A:$A,customers!$C:$C,,0))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4"/>
        <v>21.87</v>
      </c>
      <c r="N269" t="s">
        <v>6198</v>
      </c>
      <c r="O269" t="str" cm="1">
        <f t="array" ref="O269">_xlfn.IFS(J269="M","Medium", J269="L","Light", J269="D","Dark")</f>
        <v>Dark</v>
      </c>
      <c r="P269" t="str">
        <f>_xlfn.XLOOKUP(orders!$C$2:$C$1001,customers!$A$2:$A$1001,customers!$I$2:$I$1001,,0)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IF(_xlfn.XLOOKUP(C270,customers!$A:$A,customers!$C:$C,,0)=0,"",_xlfn.XLOOKUP(C270,customers!$A:$A,customers!$C:$C,,0))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4"/>
        <v>19.899999999999999</v>
      </c>
      <c r="N270" t="s">
        <v>6199</v>
      </c>
      <c r="O270" t="str" cm="1">
        <f t="array" ref="O270">_xlfn.IFS(J270="M","Medium", J270="L","Light", J270="D","Dark")</f>
        <v>Dark</v>
      </c>
      <c r="P270" t="str">
        <f>_xlfn.XLOOKUP(orders!$C$2:$C$1001,customers!$A$2:$A$1001,customers!$I$2:$I$1001,,0)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IF(_xlfn.XLOOKUP(C271,customers!$A:$A,customers!$C:$C,,0)=0,"",_xlfn.XLOOKUP(C271,customers!$A:$A,customers!$C:$C,,0))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4"/>
        <v>5.97</v>
      </c>
      <c r="N271" t="s">
        <v>6199</v>
      </c>
      <c r="O271" t="str" cm="1">
        <f t="array" ref="O271">_xlfn.IFS(J271="M","Medium", J271="L","Light", J271="D","Dark")</f>
        <v>Dark</v>
      </c>
      <c r="P271" t="str">
        <f>_xlfn.XLOOKUP(orders!$C$2:$C$1001,customers!$A$2:$A$1001,customers!$I$2:$I$1001,,0)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IF(_xlfn.XLOOKUP(C272,customers!$A:$A,customers!$C:$C,,0)=0,"",_xlfn.XLOOKUP(C272,customers!$A:$A,customers!$C:$C,,0))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4"/>
        <v>7.29</v>
      </c>
      <c r="N272" t="s">
        <v>6198</v>
      </c>
      <c r="O272" t="str" cm="1">
        <f t="array" ref="O272">_xlfn.IFS(J272="M","Medium", J272="L","Light", J272="D","Dark")</f>
        <v>Dark</v>
      </c>
      <c r="P272" t="str">
        <f>_xlfn.XLOOKUP(orders!$C$2:$C$1001,customers!$A$2:$A$1001,customers!$I$2:$I$1001,,0)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IF(_xlfn.XLOOKUP(C273,customers!$A:$A,customers!$C:$C,,0)=0,"",_xlfn.XLOOKUP(C273,customers!$A:$A,customers!$C:$C,,0))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4"/>
        <v>11.94</v>
      </c>
      <c r="N273" t="s">
        <v>6199</v>
      </c>
      <c r="O273" t="str" cm="1">
        <f t="array" ref="O273">_xlfn.IFS(J273="M","Medium", J273="L","Light", J273="D","Dark")</f>
        <v>Dark</v>
      </c>
      <c r="P273" t="str">
        <f>_xlfn.XLOOKUP(orders!$C$2:$C$1001,customers!$A$2:$A$1001,customers!$I$2:$I$1001,,0)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IF(_xlfn.XLOOKUP(C274,customers!$A:$A,customers!$C:$C,,0)=0,"",_xlfn.XLOOKUP(C274,customers!$A:$A,customers!$C:$C,,0))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4"/>
        <v>71.699999999999989</v>
      </c>
      <c r="N274" t="s">
        <v>6197</v>
      </c>
      <c r="O274" t="str" cm="1">
        <f t="array" ref="O274">_xlfn.IFS(J274="M","Medium", J274="L","Light", J274="D","Dark")</f>
        <v>Light</v>
      </c>
      <c r="P274" t="str">
        <f>_xlfn.XLOOKUP(orders!$C$2:$C$1001,customers!$A$2:$A$1001,customers!$I$2:$I$1001,,0)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IF(_xlfn.XLOOKUP(C275,customers!$A:$A,customers!$C:$C,,0)=0,"",_xlfn.XLOOKUP(C275,customers!$A:$A,customers!$C:$C,,0))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4"/>
        <v>7.77</v>
      </c>
      <c r="N275" t="s">
        <v>6199</v>
      </c>
      <c r="O275" t="str" cm="1">
        <f t="array" ref="O275">_xlfn.IFS(J275="M","Medium", J275="L","Light", J275="D","Dark")</f>
        <v>Light</v>
      </c>
      <c r="P275" t="str">
        <f>_xlfn.XLOOKUP(orders!$C$2:$C$1001,customers!$A$2:$A$1001,customers!$I$2:$I$1001,,0)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IF(_xlfn.XLOOKUP(C276,customers!$A:$A,customers!$C:$C,,0)=0,"",_xlfn.XLOOKUP(C276,customers!$A:$A,customers!$C:$C,,0))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4"/>
        <v>25.874999999999996</v>
      </c>
      <c r="N276" t="s">
        <v>6199</v>
      </c>
      <c r="O276" t="str" cm="1">
        <f t="array" ref="O276">_xlfn.IFS(J276="M","Medium", J276="L","Light", J276="D","Dark")</f>
        <v>Medium</v>
      </c>
      <c r="P276" t="str">
        <f>_xlfn.XLOOKUP(orders!$C$2:$C$1001,customers!$A$2:$A$1001,customers!$I$2:$I$1001,,0)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IF(_xlfn.XLOOKUP(C277,customers!$A:$A,customers!$C:$C,,0)=0,"",_xlfn.XLOOKUP(C277,customers!$A:$A,customers!$C:$C,,0))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4"/>
        <v>204.92999999999995</v>
      </c>
      <c r="N277" t="s">
        <v>6198</v>
      </c>
      <c r="O277" t="str" cm="1">
        <f t="array" ref="O277">_xlfn.IFS(J277="M","Medium", J277="L","Light", J277="D","Dark")</f>
        <v>Light</v>
      </c>
      <c r="P277" t="str">
        <f>_xlfn.XLOOKUP(orders!$C$2:$C$1001,customers!$A$2:$A$1001,customers!$I$2:$I$1001,,0)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IF(_xlfn.XLOOKUP(C278,customers!$A:$A,customers!$C:$C,,0)=0,"",_xlfn.XLOOKUP(C278,customers!$A:$A,customers!$C:$C,,0))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4"/>
        <v>109.93999999999998</v>
      </c>
      <c r="N278" t="s">
        <v>6197</v>
      </c>
      <c r="O278" t="str" cm="1">
        <f t="array" ref="O278">_xlfn.IFS(J278="M","Medium", J278="L","Light", J278="D","Dark")</f>
        <v>Light</v>
      </c>
      <c r="P278" t="str">
        <f>_xlfn.XLOOKUP(orders!$C$2:$C$1001,customers!$A$2:$A$1001,customers!$I$2:$I$1001,,0)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IF(_xlfn.XLOOKUP(C279,customers!$A:$A,customers!$C:$C,,0)=0,"",_xlfn.XLOOKUP(C279,customers!$A:$A,customers!$C:$C,,0))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4"/>
        <v>89.1</v>
      </c>
      <c r="N279" t="s">
        <v>6198</v>
      </c>
      <c r="O279" t="str" cm="1">
        <f t="array" ref="O279">_xlfn.IFS(J279="M","Medium", J279="L","Light", J279="D","Dark")</f>
        <v>Light</v>
      </c>
      <c r="P279" t="str">
        <f>_xlfn.XLOOKUP(orders!$C$2:$C$1001,customers!$A$2:$A$1001,customers!$I$2:$I$1001,,0)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IF(_xlfn.XLOOKUP(C280,customers!$A:$A,customers!$C:$C,,0)=0,"",_xlfn.XLOOKUP(C280,customers!$A:$A,customers!$C:$C,,0))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4"/>
        <v>7.77</v>
      </c>
      <c r="N280" t="s">
        <v>6199</v>
      </c>
      <c r="O280" t="str" cm="1">
        <f t="array" ref="O280">_xlfn.IFS(J280="M","Medium", J280="L","Light", J280="D","Dark")</f>
        <v>Light</v>
      </c>
      <c r="P280" t="str">
        <f>_xlfn.XLOOKUP(orders!$C$2:$C$1001,customers!$A$2:$A$1001,customers!$I$2:$I$1001,,0)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IF(_xlfn.XLOOKUP(C281,customers!$A:$A,customers!$C:$C,,0)=0,"",_xlfn.XLOOKUP(C281,customers!$A:$A,customers!$C:$C,,0))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4"/>
        <v>33.464999999999996</v>
      </c>
      <c r="N281" t="s">
        <v>6200</v>
      </c>
      <c r="O281" t="str" cm="1">
        <f t="array" ref="O281">_xlfn.IFS(J281="M","Medium", J281="L","Light", J281="D","Dark")</f>
        <v>Medium</v>
      </c>
      <c r="P281" t="str">
        <f>_xlfn.XLOOKUP(orders!$C$2:$C$1001,customers!$A$2:$A$1001,customers!$I$2:$I$1001,,0)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IF(_xlfn.XLOOKUP(C282,customers!$A:$A,customers!$C:$C,,0)=0,"",_xlfn.XLOOKUP(C282,customers!$A:$A,customers!$C:$C,,0))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4"/>
        <v>41.25</v>
      </c>
      <c r="N282" t="s">
        <v>6198</v>
      </c>
      <c r="O282" t="str" cm="1">
        <f t="array" ref="O282">_xlfn.IFS(J282="M","Medium", J282="L","Light", J282="D","Dark")</f>
        <v>Medium</v>
      </c>
      <c r="P282" t="str">
        <f>_xlfn.XLOOKUP(orders!$C$2:$C$1001,customers!$A$2:$A$1001,customers!$I$2:$I$1001,,0)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IF(_xlfn.XLOOKUP(C283,customers!$A:$A,customers!$C:$C,,0)=0,"",_xlfn.XLOOKUP(C283,customers!$A:$A,customers!$C:$C,,0))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4"/>
        <v>59.4</v>
      </c>
      <c r="N283" t="s">
        <v>6198</v>
      </c>
      <c r="O283" t="str" cm="1">
        <f t="array" ref="O283">_xlfn.IFS(J283="M","Medium", J283="L","Light", J283="D","Dark")</f>
        <v>Light</v>
      </c>
      <c r="P283" t="str">
        <f>_xlfn.XLOOKUP(orders!$C$2:$C$1001,customers!$A$2:$A$1001,customers!$I$2:$I$1001,,0)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IF(_xlfn.XLOOKUP(C284,customers!$A:$A,customers!$C:$C,,0)=0,"",_xlfn.XLOOKUP(C284,customers!$A:$A,customers!$C:$C,,0))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4"/>
        <v>7.77</v>
      </c>
      <c r="N284" t="s">
        <v>6199</v>
      </c>
      <c r="O284" t="str" cm="1">
        <f t="array" ref="O284">_xlfn.IFS(J284="M","Medium", J284="L","Light", J284="D","Dark")</f>
        <v>Light</v>
      </c>
      <c r="P284" t="str">
        <f>_xlfn.XLOOKUP(orders!$C$2:$C$1001,customers!$A$2:$A$1001,customers!$I$2:$I$1001,,0)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IF(_xlfn.XLOOKUP(C285,customers!$A:$A,customers!$C:$C,,0)=0,"",_xlfn.XLOOKUP(C285,customers!$A:$A,customers!$C:$C,,0))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4"/>
        <v>5.3699999999999992</v>
      </c>
      <c r="N285" t="s">
        <v>6197</v>
      </c>
      <c r="O285" t="str" cm="1">
        <f t="array" ref="O285">_xlfn.IFS(J285="M","Medium", J285="L","Light", J285="D","Dark")</f>
        <v>Dark</v>
      </c>
      <c r="P285" t="str">
        <f>_xlfn.XLOOKUP(orders!$C$2:$C$1001,customers!$A$2:$A$1001,customers!$I$2:$I$1001,,0)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IF(_xlfn.XLOOKUP(C286,customers!$A:$A,customers!$C:$C,,0)=0,"",_xlfn.XLOOKUP(C286,customers!$A:$A,customers!$C:$C,,0))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4"/>
        <v>94.874999999999986</v>
      </c>
      <c r="N286" t="s">
        <v>6198</v>
      </c>
      <c r="O286" t="str" cm="1">
        <f t="array" ref="O286">_xlfn.IFS(J286="M","Medium", J286="L","Light", J286="D","Dark")</f>
        <v>Medium</v>
      </c>
      <c r="P286" t="str">
        <f>_xlfn.XLOOKUP(orders!$C$2:$C$1001,customers!$A$2:$A$1001,customers!$I$2:$I$1001,,0)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IF(_xlfn.XLOOKUP(C287,customers!$A:$A,customers!$C:$C,,0)=0,"",_xlfn.XLOOKUP(C287,customers!$A:$A,customers!$C:$C,,0))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4"/>
        <v>36.454999999999998</v>
      </c>
      <c r="N287" t="s">
        <v>6200</v>
      </c>
      <c r="O287" t="str" cm="1">
        <f t="array" ref="O287">_xlfn.IFS(J287="M","Medium", J287="L","Light", J287="D","Dark")</f>
        <v>Light</v>
      </c>
      <c r="P287" t="str">
        <f>_xlfn.XLOOKUP(orders!$C$2:$C$1001,customers!$A$2:$A$1001,customers!$I$2:$I$1001,,0)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IF(_xlfn.XLOOKUP(C288,customers!$A:$A,customers!$C:$C,,0)=0,"",_xlfn.XLOOKUP(C288,customers!$A:$A,customers!$C:$C,,0))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4"/>
        <v>13.5</v>
      </c>
      <c r="N288" t="s">
        <v>6199</v>
      </c>
      <c r="O288" t="str" cm="1">
        <f t="array" ref="O288">_xlfn.IFS(J288="M","Medium", J288="L","Light", J288="D","Dark")</f>
        <v>Medium</v>
      </c>
      <c r="P288" t="str">
        <f>_xlfn.XLOOKUP(orders!$C$2:$C$1001,customers!$A$2:$A$1001,customers!$I$2:$I$1001,,0)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IF(_xlfn.XLOOKUP(C289,customers!$A:$A,customers!$C:$C,,0)=0,"",_xlfn.XLOOKUP(C289,customers!$A:$A,customers!$C:$C,,0))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4"/>
        <v>14.339999999999998</v>
      </c>
      <c r="N289" t="s">
        <v>6197</v>
      </c>
      <c r="O289" t="str" cm="1">
        <f t="array" ref="O289">_xlfn.IFS(J289="M","Medium", J289="L","Light", J289="D","Dark")</f>
        <v>Light</v>
      </c>
      <c r="P289" t="str">
        <f>_xlfn.XLOOKUP(orders!$C$2:$C$1001,customers!$A$2:$A$1001,customers!$I$2:$I$1001,,0)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IF(_xlfn.XLOOKUP(C290,customers!$A:$A,customers!$C:$C,,0)=0,"",_xlfn.XLOOKUP(C290,customers!$A:$A,customers!$C:$C,,0))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4"/>
        <v>8.25</v>
      </c>
      <c r="N290" t="s">
        <v>6198</v>
      </c>
      <c r="O290" t="str" cm="1">
        <f t="array" ref="O290">_xlfn.IFS(J290="M","Medium", J290="L","Light", J290="D","Dark")</f>
        <v>Medium</v>
      </c>
      <c r="P290" t="str">
        <f>_xlfn.XLOOKUP(orders!$C$2:$C$1001,customers!$A$2:$A$1001,customers!$I$2:$I$1001,,0)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IF(_xlfn.XLOOKUP(C291,customers!$A:$A,customers!$C:$C,,0)=0,"",_xlfn.XLOOKUP(C291,customers!$A:$A,customers!$C:$C,,0))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4"/>
        <v>13.424999999999997</v>
      </c>
      <c r="N291" t="s">
        <v>6197</v>
      </c>
      <c r="O291" t="str" cm="1">
        <f t="array" ref="O291">_xlfn.IFS(J291="M","Medium", J291="L","Light", J291="D","Dark")</f>
        <v>Dark</v>
      </c>
      <c r="P291" t="str">
        <f>_xlfn.XLOOKUP(orders!$C$2:$C$1001,customers!$A$2:$A$1001,customers!$I$2:$I$1001,,0)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IF(_xlfn.XLOOKUP(C292,customers!$A:$A,customers!$C:$C,,0)=0,"",_xlfn.XLOOKUP(C292,customers!$A:$A,customers!$C:$C,,0))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4"/>
        <v>49.75</v>
      </c>
      <c r="N292" t="s">
        <v>6199</v>
      </c>
      <c r="O292" t="str" cm="1">
        <f t="array" ref="O292">_xlfn.IFS(J292="M","Medium", J292="L","Light", J292="D","Dark")</f>
        <v>Dark</v>
      </c>
      <c r="P292" t="str">
        <f>_xlfn.XLOOKUP(orders!$C$2:$C$1001,customers!$A$2:$A$1001,customers!$I$2:$I$1001,,0)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IF(_xlfn.XLOOKUP(C293,customers!$A:$A,customers!$C:$C,,0)=0,"",_xlfn.XLOOKUP(C293,customers!$A:$A,customers!$C:$C,,0))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4"/>
        <v>16.5</v>
      </c>
      <c r="N293" t="s">
        <v>6198</v>
      </c>
      <c r="O293" t="str" cm="1">
        <f t="array" ref="O293">_xlfn.IFS(J293="M","Medium", J293="L","Light", J293="D","Dark")</f>
        <v>Medium</v>
      </c>
      <c r="P293" t="str">
        <f>_xlfn.XLOOKUP(orders!$C$2:$C$1001,customers!$A$2:$A$1001,customers!$I$2:$I$1001,,0)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IF(_xlfn.XLOOKUP(C294,customers!$A:$A,customers!$C:$C,,0)=0,"",_xlfn.XLOOKUP(C294,customers!$A:$A,customers!$C:$C,,0))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4"/>
        <v>17.91</v>
      </c>
      <c r="N294" t="s">
        <v>6199</v>
      </c>
      <c r="O294" t="str" cm="1">
        <f t="array" ref="O294">_xlfn.IFS(J294="M","Medium", J294="L","Light", J294="D","Dark")</f>
        <v>Dark</v>
      </c>
      <c r="P294" t="str">
        <f>_xlfn.XLOOKUP(orders!$C$2:$C$1001,customers!$A$2:$A$1001,customers!$I$2:$I$1001,,0)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IF(_xlfn.XLOOKUP(C295,customers!$A:$A,customers!$C:$C,,0)=0,"",_xlfn.XLOOKUP(C295,customers!$A:$A,customers!$C:$C,,0))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4"/>
        <v>29.849999999999998</v>
      </c>
      <c r="N295" t="s">
        <v>6199</v>
      </c>
      <c r="O295" t="str" cm="1">
        <f t="array" ref="O295">_xlfn.IFS(J295="M","Medium", J295="L","Light", J295="D","Dark")</f>
        <v>Dark</v>
      </c>
      <c r="P295" t="str">
        <f>_xlfn.XLOOKUP(orders!$C$2:$C$1001,customers!$A$2:$A$1001,customers!$I$2:$I$1001,,0)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IF(_xlfn.XLOOKUP(C296,customers!$A:$A,customers!$C:$C,,0)=0,"",_xlfn.XLOOKUP(C296,customers!$A:$A,customers!$C:$C,,0))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4"/>
        <v>44.55</v>
      </c>
      <c r="N296" t="s">
        <v>6198</v>
      </c>
      <c r="O296" t="str" cm="1">
        <f t="array" ref="O296">_xlfn.IFS(J296="M","Medium", J296="L","Light", J296="D","Dark")</f>
        <v>Light</v>
      </c>
      <c r="P296" t="str">
        <f>_xlfn.XLOOKUP(orders!$C$2:$C$1001,customers!$A$2:$A$1001,customers!$I$2:$I$1001,,0)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IF(_xlfn.XLOOKUP(C297,customers!$A:$A,customers!$C:$C,,0)=0,"",_xlfn.XLOOKUP(C297,customers!$A:$A,customers!$C:$C,,0))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4"/>
        <v>27.5</v>
      </c>
      <c r="N297" t="s">
        <v>6198</v>
      </c>
      <c r="O297" t="str" cm="1">
        <f t="array" ref="O297">_xlfn.IFS(J297="M","Medium", J297="L","Light", J297="D","Dark")</f>
        <v>Medium</v>
      </c>
      <c r="P297" t="str">
        <f>_xlfn.XLOOKUP(orders!$C$2:$C$1001,customers!$A$2:$A$1001,customers!$I$2:$I$1001,,0)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IF(_xlfn.XLOOKUP(C298,customers!$A:$A,customers!$C:$C,,0)=0,"",_xlfn.XLOOKUP(C298,customers!$A:$A,customers!$C:$C,,0))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4"/>
        <v>35.82</v>
      </c>
      <c r="N298" t="s">
        <v>6197</v>
      </c>
      <c r="O298" t="str" cm="1">
        <f t="array" ref="O298">_xlfn.IFS(J298="M","Medium", J298="L","Light", J298="D","Dark")</f>
        <v>Medium</v>
      </c>
      <c r="P298" t="str">
        <f>_xlfn.XLOOKUP(orders!$C$2:$C$1001,customers!$A$2:$A$1001,customers!$I$2:$I$1001,,0)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IF(_xlfn.XLOOKUP(C299,customers!$A:$A,customers!$C:$C,,0)=0,"",_xlfn.XLOOKUP(C299,customers!$A:$A,customers!$C:$C,,0))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4"/>
        <v>16.11</v>
      </c>
      <c r="N299" t="s">
        <v>6197</v>
      </c>
      <c r="O299" t="str" cm="1">
        <f t="array" ref="O299">_xlfn.IFS(J299="M","Medium", J299="L","Light", J299="D","Dark")</f>
        <v>Dark</v>
      </c>
      <c r="P299" t="str">
        <f>_xlfn.XLOOKUP(orders!$C$2:$C$1001,customers!$A$2:$A$1001,customers!$I$2:$I$1001,,0)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IF(_xlfn.XLOOKUP(C300,customers!$A:$A,customers!$C:$C,,0)=0,"",_xlfn.XLOOKUP(C300,customers!$A:$A,customers!$C:$C,,0))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4"/>
        <v>26.73</v>
      </c>
      <c r="N300" t="s">
        <v>6198</v>
      </c>
      <c r="O300" t="str" cm="1">
        <f t="array" ref="O300">_xlfn.IFS(J300="M","Medium", J300="L","Light", J300="D","Dark")</f>
        <v>Light</v>
      </c>
      <c r="P300" t="str">
        <f>_xlfn.XLOOKUP(orders!$C$2:$C$1001,customers!$A$2:$A$1001,customers!$I$2:$I$1001,,0)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IF(_xlfn.XLOOKUP(C301,customers!$A:$A,customers!$C:$C,,0)=0,"",_xlfn.XLOOKUP(C301,customers!$A:$A,customers!$C:$C,,0))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4"/>
        <v>204.92999999999995</v>
      </c>
      <c r="N301" t="s">
        <v>6198</v>
      </c>
      <c r="O301" t="str" cm="1">
        <f t="array" ref="O301">_xlfn.IFS(J301="M","Medium", J301="L","Light", J301="D","Dark")</f>
        <v>Light</v>
      </c>
      <c r="P301" t="str">
        <f>_xlfn.XLOOKUP(orders!$C$2:$C$1001,customers!$A$2:$A$1001,customers!$I$2:$I$1001,,0)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IF(_xlfn.XLOOKUP(C302,customers!$A:$A,customers!$C:$C,,0)=0,"",_xlfn.XLOOKUP(C302,customers!$A:$A,customers!$C:$C,,0))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4"/>
        <v>38.849999999999994</v>
      </c>
      <c r="N302" t="s">
        <v>6199</v>
      </c>
      <c r="O302" t="str" cm="1">
        <f t="array" ref="O302">_xlfn.IFS(J302="M","Medium", J302="L","Light", J302="D","Dark")</f>
        <v>Light</v>
      </c>
      <c r="P302" t="str">
        <f>_xlfn.XLOOKUP(orders!$C$2:$C$1001,customers!$A$2:$A$1001,customers!$I$2:$I$1001,,0)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IF(_xlfn.XLOOKUP(C303,customers!$A:$A,customers!$C:$C,,0)=0,"",_xlfn.XLOOKUP(C303,customers!$A:$A,customers!$C:$C,,0))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4"/>
        <v>15.54</v>
      </c>
      <c r="N303" t="s">
        <v>6200</v>
      </c>
      <c r="O303" t="str" cm="1">
        <f t="array" ref="O303">_xlfn.IFS(J303="M","Medium", J303="L","Light", J303="D","Dark")</f>
        <v>Dark</v>
      </c>
      <c r="P303" t="str">
        <f>_xlfn.XLOOKUP(orders!$C$2:$C$1001,customers!$A$2:$A$1001,customers!$I$2:$I$1001,,0)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IF(_xlfn.XLOOKUP(C304,customers!$A:$A,customers!$C:$C,,0)=0,"",_xlfn.XLOOKUP(C304,customers!$A:$A,customers!$C:$C,,0))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4"/>
        <v>6.75</v>
      </c>
      <c r="N304" t="s">
        <v>6199</v>
      </c>
      <c r="O304" t="str" cm="1">
        <f t="array" ref="O304">_xlfn.IFS(J304="M","Medium", J304="L","Light", J304="D","Dark")</f>
        <v>Medium</v>
      </c>
      <c r="P304" t="str">
        <f>_xlfn.XLOOKUP(orders!$C$2:$C$1001,customers!$A$2:$A$1001,customers!$I$2:$I$1001,,0)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IF(_xlfn.XLOOKUP(C305,customers!$A:$A,customers!$C:$C,,0)=0,"",_xlfn.XLOOKUP(C305,customers!$A:$A,customers!$C:$C,,0))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4"/>
        <v>111.78</v>
      </c>
      <c r="N305" t="s">
        <v>6198</v>
      </c>
      <c r="O305" t="str" cm="1">
        <f t="array" ref="O305">_xlfn.IFS(J305="M","Medium", J305="L","Light", J305="D","Dark")</f>
        <v>Dark</v>
      </c>
      <c r="P305" t="str">
        <f>_xlfn.XLOOKUP(orders!$C$2:$C$1001,customers!$A$2:$A$1001,customers!$I$2:$I$1001,,0)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IF(_xlfn.XLOOKUP(C306,customers!$A:$A,customers!$C:$C,,0)=0,"",_xlfn.XLOOKUP(C306,customers!$A:$A,customers!$C:$C,,0))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4"/>
        <v>3.8849999999999998</v>
      </c>
      <c r="N306" t="s">
        <v>6199</v>
      </c>
      <c r="O306" t="str" cm="1">
        <f t="array" ref="O306">_xlfn.IFS(J306="M","Medium", J306="L","Light", J306="D","Dark")</f>
        <v>Light</v>
      </c>
      <c r="P306" t="str">
        <f>_xlfn.XLOOKUP(orders!$C$2:$C$1001,customers!$A$2:$A$1001,customers!$I$2:$I$1001,,0)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IF(_xlfn.XLOOKUP(C307,customers!$A:$A,customers!$C:$C,,0)=0,"",_xlfn.XLOOKUP(C307,customers!$A:$A,customers!$C:$C,,0))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4"/>
        <v>21.825000000000003</v>
      </c>
      <c r="N307" t="s">
        <v>6200</v>
      </c>
      <c r="O307" t="str" cm="1">
        <f t="array" ref="O307">_xlfn.IFS(J307="M","Medium", J307="L","Light", J307="D","Dark")</f>
        <v>Medium</v>
      </c>
      <c r="P307" t="str">
        <f>_xlfn.XLOOKUP(orders!$C$2:$C$1001,customers!$A$2:$A$1001,customers!$I$2:$I$1001,,0)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IF(_xlfn.XLOOKUP(C308,customers!$A:$A,customers!$C:$C,,0)=0,"",_xlfn.XLOOKUP(C308,customers!$A:$A,customers!$C:$C,,0))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4"/>
        <v>14.924999999999999</v>
      </c>
      <c r="N308" t="s">
        <v>6197</v>
      </c>
      <c r="O308" t="str" cm="1">
        <f t="array" ref="O308">_xlfn.IFS(J308="M","Medium", J308="L","Light", J308="D","Dark")</f>
        <v>Medium</v>
      </c>
      <c r="P308" t="str">
        <f>_xlfn.XLOOKUP(orders!$C$2:$C$1001,customers!$A$2:$A$1001,customers!$I$2:$I$1001,,0)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IF(_xlfn.XLOOKUP(C309,customers!$A:$A,customers!$C:$C,,0)=0,"",_xlfn.XLOOKUP(C309,customers!$A:$A,customers!$C:$C,,0))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4"/>
        <v>33.75</v>
      </c>
      <c r="N309" t="s">
        <v>6199</v>
      </c>
      <c r="O309" t="str" cm="1">
        <f t="array" ref="O309">_xlfn.IFS(J309="M","Medium", J309="L","Light", J309="D","Dark")</f>
        <v>Medium</v>
      </c>
      <c r="P309" t="str">
        <f>_xlfn.XLOOKUP(orders!$C$2:$C$1001,customers!$A$2:$A$1001,customers!$I$2:$I$1001,,0)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IF(_xlfn.XLOOKUP(C310,customers!$A:$A,customers!$C:$C,,0)=0,"",_xlfn.XLOOKUP(C310,customers!$A:$A,customers!$C:$C,,0))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4"/>
        <v>33.75</v>
      </c>
      <c r="N310" t="s">
        <v>6199</v>
      </c>
      <c r="O310" t="str" cm="1">
        <f t="array" ref="O310">_xlfn.IFS(J310="M","Medium", J310="L","Light", J310="D","Dark")</f>
        <v>Medium</v>
      </c>
      <c r="P310" t="str">
        <f>_xlfn.XLOOKUP(orders!$C$2:$C$1001,customers!$A$2:$A$1001,customers!$I$2:$I$1001,,0)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IF(_xlfn.XLOOKUP(C311,customers!$A:$A,customers!$C:$C,,0)=0,"",_xlfn.XLOOKUP(C311,customers!$A:$A,customers!$C:$C,,0))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4"/>
        <v>26.19</v>
      </c>
      <c r="N311" t="s">
        <v>6200</v>
      </c>
      <c r="O311" t="str" cm="1">
        <f t="array" ref="O311">_xlfn.IFS(J311="M","Medium", J311="L","Light", J311="D","Dark")</f>
        <v>Medium</v>
      </c>
      <c r="P311" t="str">
        <f>_xlfn.XLOOKUP(orders!$C$2:$C$1001,customers!$A$2:$A$1001,customers!$I$2:$I$1001,,0)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IF(_xlfn.XLOOKUP(C312,customers!$A:$A,customers!$C:$C,,0)=0,"",_xlfn.XLOOKUP(C312,customers!$A:$A,customers!$C:$C,,0))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4"/>
        <v>14.85</v>
      </c>
      <c r="N312" t="s">
        <v>6198</v>
      </c>
      <c r="O312" t="str" cm="1">
        <f t="array" ref="O312">_xlfn.IFS(J312="M","Medium", J312="L","Light", J312="D","Dark")</f>
        <v>Light</v>
      </c>
      <c r="P312" t="str">
        <f>_xlfn.XLOOKUP(orders!$C$2:$C$1001,customers!$A$2:$A$1001,customers!$I$2:$I$1001,,0)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IF(_xlfn.XLOOKUP(C313,customers!$A:$A,customers!$C:$C,,0)=0,"",_xlfn.XLOOKUP(C313,customers!$A:$A,customers!$C:$C,,0))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4"/>
        <v>189.74999999999997</v>
      </c>
      <c r="N313" t="s">
        <v>6198</v>
      </c>
      <c r="O313" t="str" cm="1">
        <f t="array" ref="O313">_xlfn.IFS(J313="M","Medium", J313="L","Light", J313="D","Dark")</f>
        <v>Medium</v>
      </c>
      <c r="P313" t="str">
        <f>_xlfn.XLOOKUP(orders!$C$2:$C$1001,customers!$A$2:$A$1001,customers!$I$2:$I$1001,,0)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IF(_xlfn.XLOOKUP(C314,customers!$A:$A,customers!$C:$C,,0)=0,"",_xlfn.XLOOKUP(C314,customers!$A:$A,customers!$C:$C,,0))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4"/>
        <v>5.97</v>
      </c>
      <c r="N314" t="s">
        <v>6197</v>
      </c>
      <c r="O314" t="str" cm="1">
        <f t="array" ref="O314">_xlfn.IFS(J314="M","Medium", J314="L","Light", J314="D","Dark")</f>
        <v>Medium</v>
      </c>
      <c r="P314" t="str">
        <f>_xlfn.XLOOKUP(orders!$C$2:$C$1001,customers!$A$2:$A$1001,customers!$I$2:$I$1001,,0)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IF(_xlfn.XLOOKUP(C315,customers!$A:$A,customers!$C:$C,,0)=0,"",_xlfn.XLOOKUP(C315,customers!$A:$A,customers!$C:$C,,0))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4"/>
        <v>29.849999999999998</v>
      </c>
      <c r="N315" t="s">
        <v>6197</v>
      </c>
      <c r="O315" t="str" cm="1">
        <f t="array" ref="O315">_xlfn.IFS(J315="M","Medium", J315="L","Light", J315="D","Dark")</f>
        <v>Medium</v>
      </c>
      <c r="P315" t="str">
        <f>_xlfn.XLOOKUP(orders!$C$2:$C$1001,customers!$A$2:$A$1001,customers!$I$2:$I$1001,,0)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IF(_xlfn.XLOOKUP(C316,customers!$A:$A,customers!$C:$C,,0)=0,"",_xlfn.XLOOKUP(C316,customers!$A:$A,customers!$C:$C,,0))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4"/>
        <v>44.75</v>
      </c>
      <c r="N316" t="s">
        <v>6197</v>
      </c>
      <c r="O316" t="str" cm="1">
        <f t="array" ref="O316">_xlfn.IFS(J316="M","Medium", J316="L","Light", J316="D","Dark")</f>
        <v>Dark</v>
      </c>
      <c r="P316" t="str">
        <f>_xlfn.XLOOKUP(orders!$C$2:$C$1001,customers!$A$2:$A$1001,customers!$I$2:$I$1001,,0)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IF(_xlfn.XLOOKUP(C317,customers!$A:$A,customers!$C:$C,,0)=0,"",_xlfn.XLOOKUP(C317,customers!$A:$A,customers!$C:$C,,0))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4"/>
        <v>34.154999999999994</v>
      </c>
      <c r="N317" t="s">
        <v>6198</v>
      </c>
      <c r="O317" t="str" cm="1">
        <f t="array" ref="O317">_xlfn.IFS(J317="M","Medium", J317="L","Light", J317="D","Dark")</f>
        <v>Light</v>
      </c>
      <c r="P317" t="str">
        <f>_xlfn.XLOOKUP(orders!$C$2:$C$1001,customers!$A$2:$A$1001,customers!$I$2:$I$1001,,0)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IF(_xlfn.XLOOKUP(C318,customers!$A:$A,customers!$C:$C,,0)=0,"",_xlfn.XLOOKUP(C318,customers!$A:$A,customers!$C:$C,,0))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4"/>
        <v>204.92999999999995</v>
      </c>
      <c r="N318" t="s">
        <v>6198</v>
      </c>
      <c r="O318" t="str" cm="1">
        <f t="array" ref="O318">_xlfn.IFS(J318="M","Medium", J318="L","Light", J318="D","Dark")</f>
        <v>Light</v>
      </c>
      <c r="P318" t="str">
        <f>_xlfn.XLOOKUP(orders!$C$2:$C$1001,customers!$A$2:$A$1001,customers!$I$2:$I$1001,,0)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IF(_xlfn.XLOOKUP(C319,customers!$A:$A,customers!$C:$C,,0)=0,"",_xlfn.XLOOKUP(C319,customers!$A:$A,customers!$C:$C,,0))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4"/>
        <v>21.87</v>
      </c>
      <c r="N319" t="s">
        <v>6198</v>
      </c>
      <c r="O319" t="str" cm="1">
        <f t="array" ref="O319">_xlfn.IFS(J319="M","Medium", J319="L","Light", J319="D","Dark")</f>
        <v>Dark</v>
      </c>
      <c r="P319" t="str">
        <f>_xlfn.XLOOKUP(orders!$C$2:$C$1001,customers!$A$2:$A$1001,customers!$I$2:$I$1001,,0)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IF(_xlfn.XLOOKUP(C320,customers!$A:$A,customers!$C:$C,,0)=0,"",_xlfn.XLOOKUP(C320,customers!$A:$A,customers!$C:$C,,0))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4"/>
        <v>51.749999999999993</v>
      </c>
      <c r="N320" t="s">
        <v>6199</v>
      </c>
      <c r="O320" t="str" cm="1">
        <f t="array" ref="O320">_xlfn.IFS(J320="M","Medium", J320="L","Light", J320="D","Dark")</f>
        <v>Medium</v>
      </c>
      <c r="P320" t="str">
        <f>_xlfn.XLOOKUP(orders!$C$2:$C$1001,customers!$A$2:$A$1001,customers!$I$2:$I$1001,,0)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IF(_xlfn.XLOOKUP(C321,customers!$A:$A,customers!$C:$C,,0)=0,"",_xlfn.XLOOKUP(C321,customers!$A:$A,customers!$C:$C,,0))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4"/>
        <v>8.25</v>
      </c>
      <c r="N321" t="s">
        <v>6198</v>
      </c>
      <c r="O321" t="str" cm="1">
        <f t="array" ref="O321">_xlfn.IFS(J321="M","Medium", J321="L","Light", J321="D","Dark")</f>
        <v>Medium</v>
      </c>
      <c r="P321" t="str">
        <f>_xlfn.XLOOKUP(orders!$C$2:$C$1001,customers!$A$2:$A$1001,customers!$I$2:$I$1001,,0)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IF(_xlfn.XLOOKUP(C322,customers!$A:$A,customers!$C:$C,,0)=0,"",_xlfn.XLOOKUP(C322,customers!$A:$A,customers!$C:$C,,0))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4"/>
        <v>19.424999999999997</v>
      </c>
      <c r="N322" t="s">
        <v>6199</v>
      </c>
      <c r="O322" t="str" cm="1">
        <f t="array" ref="O322">_xlfn.IFS(J322="M","Medium", J322="L","Light", J322="D","Dark")</f>
        <v>Light</v>
      </c>
      <c r="P322" t="str">
        <f>_xlfn.XLOOKUP(orders!$C$2:$C$1001,customers!$A$2:$A$1001,customers!$I$2:$I$1001,,0)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IF(_xlfn.XLOOKUP(C323,customers!$A:$A,customers!$C:$C,,0)=0,"",_xlfn.XLOOKUP(C323,customers!$A:$A,customers!$C:$C,,0))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5">L323*E323</f>
        <v>20.25</v>
      </c>
      <c r="N323" t="s">
        <v>6199</v>
      </c>
      <c r="O323" t="str" cm="1">
        <f t="array" ref="O323">_xlfn.IFS(J323="M","Medium", J323="L","Light", J323="D","Dark")</f>
        <v>Medium</v>
      </c>
      <c r="P323" t="str">
        <f>_xlfn.XLOOKUP(orders!$C$2:$C$1001,customers!$A$2:$A$1001,customers!$I$2:$I$1001,,0)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IF(_xlfn.XLOOKUP(C324,customers!$A:$A,customers!$C:$C,,0)=0,"",_xlfn.XLOOKUP(C324,customers!$A:$A,customers!$C:$C,,0))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5"/>
        <v>23.31</v>
      </c>
      <c r="N324" t="s">
        <v>6200</v>
      </c>
      <c r="O324" t="str" cm="1">
        <f t="array" ref="O324">_xlfn.IFS(J324="M","Medium", J324="L","Light", J324="D","Dark")</f>
        <v>Dark</v>
      </c>
      <c r="P324" t="str">
        <f>_xlfn.XLOOKUP(orders!$C$2:$C$1001,customers!$A$2:$A$1001,customers!$I$2:$I$1001,,0)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IF(_xlfn.XLOOKUP(C325,customers!$A:$A,customers!$C:$C,,0)=0,"",_xlfn.XLOOKUP(C325,customers!$A:$A,customers!$C:$C,,0))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5"/>
        <v>18.225000000000001</v>
      </c>
      <c r="N325" t="s">
        <v>6198</v>
      </c>
      <c r="O325" t="str" cm="1">
        <f t="array" ref="O325">_xlfn.IFS(J325="M","Medium", J325="L","Light", J325="D","Dark")</f>
        <v>Dark</v>
      </c>
      <c r="P325" t="str">
        <f>_xlfn.XLOOKUP(orders!$C$2:$C$1001,customers!$A$2:$A$1001,customers!$I$2:$I$1001,,0)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IF(_xlfn.XLOOKUP(C326,customers!$A:$A,customers!$C:$C,,0)=0,"",_xlfn.XLOOKUP(C326,customers!$A:$A,customers!$C:$C,,0))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5"/>
        <v>13.75</v>
      </c>
      <c r="N326" t="s">
        <v>6198</v>
      </c>
      <c r="O326" t="str" cm="1">
        <f t="array" ref="O326">_xlfn.IFS(J326="M","Medium", J326="L","Light", J326="D","Dark")</f>
        <v>Medium</v>
      </c>
      <c r="P326" t="str">
        <f>_xlfn.XLOOKUP(orders!$C$2:$C$1001,customers!$A$2:$A$1001,customers!$I$2:$I$1001,,0)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IF(_xlfn.XLOOKUP(C327,customers!$A:$A,customers!$C:$C,,0)=0,"",_xlfn.XLOOKUP(C327,customers!$A:$A,customers!$C:$C,,0))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5"/>
        <v>29.784999999999997</v>
      </c>
      <c r="N327" t="s">
        <v>6199</v>
      </c>
      <c r="O327" t="str" cm="1">
        <f t="array" ref="O327">_xlfn.IFS(J327="M","Medium", J327="L","Light", J327="D","Dark")</f>
        <v>Light</v>
      </c>
      <c r="P327" t="str">
        <f>_xlfn.XLOOKUP(orders!$C$2:$C$1001,customers!$A$2:$A$1001,customers!$I$2:$I$1001,,0)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IF(_xlfn.XLOOKUP(C328,customers!$A:$A,customers!$C:$C,,0)=0,"",_xlfn.XLOOKUP(C328,customers!$A:$A,customers!$C:$C,,0))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5"/>
        <v>44.75</v>
      </c>
      <c r="N328" t="s">
        <v>6197</v>
      </c>
      <c r="O328" t="str" cm="1">
        <f t="array" ref="O328">_xlfn.IFS(J328="M","Medium", J328="L","Light", J328="D","Dark")</f>
        <v>Dark</v>
      </c>
      <c r="P328" t="str">
        <f>_xlfn.XLOOKUP(orders!$C$2:$C$1001,customers!$A$2:$A$1001,customers!$I$2:$I$1001,,0)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IF(_xlfn.XLOOKUP(C329,customers!$A:$A,customers!$C:$C,,0)=0,"",_xlfn.XLOOKUP(C329,customers!$A:$A,customers!$C:$C,,0))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5"/>
        <v>44.75</v>
      </c>
      <c r="N329" t="s">
        <v>6197</v>
      </c>
      <c r="O329" t="str" cm="1">
        <f t="array" ref="O329">_xlfn.IFS(J329="M","Medium", J329="L","Light", J329="D","Dark")</f>
        <v>Dark</v>
      </c>
      <c r="P329" t="str">
        <f>_xlfn.XLOOKUP(orders!$C$2:$C$1001,customers!$A$2:$A$1001,customers!$I$2:$I$1001,,0)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IF(_xlfn.XLOOKUP(C330,customers!$A:$A,customers!$C:$C,,0)=0,"",_xlfn.XLOOKUP(C330,customers!$A:$A,customers!$C:$C,,0))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5"/>
        <v>38.04</v>
      </c>
      <c r="N330" t="s">
        <v>6200</v>
      </c>
      <c r="O330" t="str" cm="1">
        <f t="array" ref="O330">_xlfn.IFS(J330="M","Medium", J330="L","Light", J330="D","Dark")</f>
        <v>Light</v>
      </c>
      <c r="P330" t="str">
        <f>_xlfn.XLOOKUP(orders!$C$2:$C$1001,customers!$A$2:$A$1001,customers!$I$2:$I$1001,,0)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IF(_xlfn.XLOOKUP(C331,customers!$A:$A,customers!$C:$C,,0)=0,"",_xlfn.XLOOKUP(C331,customers!$A:$A,customers!$C:$C,,0))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5"/>
        <v>21.479999999999997</v>
      </c>
      <c r="N331" t="s">
        <v>6197</v>
      </c>
      <c r="O331" t="str" cm="1">
        <f t="array" ref="O331">_xlfn.IFS(J331="M","Medium", J331="L","Light", J331="D","Dark")</f>
        <v>Dark</v>
      </c>
      <c r="P331" t="str">
        <f>_xlfn.XLOOKUP(orders!$C$2:$C$1001,customers!$A$2:$A$1001,customers!$I$2:$I$1001,,0)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IF(_xlfn.XLOOKUP(C332,customers!$A:$A,customers!$C:$C,,0)=0,"",_xlfn.XLOOKUP(C332,customers!$A:$A,customers!$C:$C,,0))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5"/>
        <v>16.11</v>
      </c>
      <c r="N332" t="s">
        <v>6197</v>
      </c>
      <c r="O332" t="str" cm="1">
        <f t="array" ref="O332">_xlfn.IFS(J332="M","Medium", J332="L","Light", J332="D","Dark")</f>
        <v>Dark</v>
      </c>
      <c r="P332" t="str">
        <f>_xlfn.XLOOKUP(orders!$C$2:$C$1001,customers!$A$2:$A$1001,customers!$I$2:$I$1001,,0)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IF(_xlfn.XLOOKUP(C333,customers!$A:$A,customers!$C:$C,,0)=0,"",_xlfn.XLOOKUP(C333,customers!$A:$A,customers!$C:$C,,0))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5"/>
        <v>22.884999999999998</v>
      </c>
      <c r="N333" t="s">
        <v>6197</v>
      </c>
      <c r="O333" t="str" cm="1">
        <f t="array" ref="O333">_xlfn.IFS(J333="M","Medium", J333="L","Light", J333="D","Dark")</f>
        <v>Medium</v>
      </c>
      <c r="P333" t="str">
        <f>_xlfn.XLOOKUP(orders!$C$2:$C$1001,customers!$A$2:$A$1001,customers!$I$2:$I$1001,,0)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IF(_xlfn.XLOOKUP(C334,customers!$A:$A,customers!$C:$C,,0)=0,"",_xlfn.XLOOKUP(C334,customers!$A:$A,customers!$C:$C,,0))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5"/>
        <v>17.91</v>
      </c>
      <c r="N334" t="s">
        <v>6199</v>
      </c>
      <c r="O334" t="str" cm="1">
        <f t="array" ref="O334">_xlfn.IFS(J334="M","Medium", J334="L","Light", J334="D","Dark")</f>
        <v>Dark</v>
      </c>
      <c r="P334" t="str">
        <f>_xlfn.XLOOKUP(orders!$C$2:$C$1001,customers!$A$2:$A$1001,customers!$I$2:$I$1001,,0)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IF(_xlfn.XLOOKUP(C335,customers!$A:$A,customers!$C:$C,,0)=0,"",_xlfn.XLOOKUP(C335,customers!$A:$A,customers!$C:$C,,0))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5"/>
        <v>23.88</v>
      </c>
      <c r="N335" t="s">
        <v>6197</v>
      </c>
      <c r="O335" t="str" cm="1">
        <f t="array" ref="O335">_xlfn.IFS(J335="M","Medium", J335="L","Light", J335="D","Dark")</f>
        <v>Medium</v>
      </c>
      <c r="P335" t="str">
        <f>_xlfn.XLOOKUP(orders!$C$2:$C$1001,customers!$A$2:$A$1001,customers!$I$2:$I$1001,,0)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IF(_xlfn.XLOOKUP(C336,customers!$A:$A,customers!$C:$C,,0)=0,"",_xlfn.XLOOKUP(C336,customers!$A:$A,customers!$C:$C,,0))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5"/>
        <v>59.75</v>
      </c>
      <c r="N336" t="s">
        <v>6197</v>
      </c>
      <c r="O336" t="str" cm="1">
        <f t="array" ref="O336">_xlfn.IFS(J336="M","Medium", J336="L","Light", J336="D","Dark")</f>
        <v>Light</v>
      </c>
      <c r="P336" t="str">
        <f>_xlfn.XLOOKUP(orders!$C$2:$C$1001,customers!$A$2:$A$1001,customers!$I$2:$I$1001,,0)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IF(_xlfn.XLOOKUP(C337,customers!$A:$A,customers!$C:$C,,0)=0,"",_xlfn.XLOOKUP(C337,customers!$A:$A,customers!$C:$C,,0))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5"/>
        <v>28.53</v>
      </c>
      <c r="N337" t="s">
        <v>6200</v>
      </c>
      <c r="O337" t="str" cm="1">
        <f t="array" ref="O337">_xlfn.IFS(J337="M","Medium", J337="L","Light", J337="D","Dark")</f>
        <v>Light</v>
      </c>
      <c r="P337" t="str">
        <f>_xlfn.XLOOKUP(orders!$C$2:$C$1001,customers!$A$2:$A$1001,customers!$I$2:$I$1001,,0)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IF(_xlfn.XLOOKUP(C338,customers!$A:$A,customers!$C:$C,,0)=0,"",_xlfn.XLOOKUP(C338,customers!$A:$A,customers!$C:$C,,0))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5"/>
        <v>45</v>
      </c>
      <c r="N338" t="s">
        <v>6199</v>
      </c>
      <c r="O338" t="str" cm="1">
        <f t="array" ref="O338">_xlfn.IFS(J338="M","Medium", J338="L","Light", J338="D","Dark")</f>
        <v>Medium</v>
      </c>
      <c r="P338" t="str">
        <f>_xlfn.XLOOKUP(orders!$C$2:$C$1001,customers!$A$2:$A$1001,customers!$I$2:$I$1001,,0)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IF(_xlfn.XLOOKUP(C339,customers!$A:$A,customers!$C:$C,,0)=0,"",_xlfn.XLOOKUP(C339,customers!$A:$A,customers!$C:$C,,0))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5"/>
        <v>55.89</v>
      </c>
      <c r="N339" t="s">
        <v>6198</v>
      </c>
      <c r="O339" t="str" cm="1">
        <f t="array" ref="O339">_xlfn.IFS(J339="M","Medium", J339="L","Light", J339="D","Dark")</f>
        <v>Dark</v>
      </c>
      <c r="P339" t="str">
        <f>_xlfn.XLOOKUP(orders!$C$2:$C$1001,customers!$A$2:$A$1001,customers!$I$2:$I$1001,,0)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IF(_xlfn.XLOOKUP(C340,customers!$A:$A,customers!$C:$C,,0)=0,"",_xlfn.XLOOKUP(C340,customers!$A:$A,customers!$C:$C,,0))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5"/>
        <v>59.4</v>
      </c>
      <c r="N340" t="s">
        <v>6198</v>
      </c>
      <c r="O340" t="str" cm="1">
        <f t="array" ref="O340">_xlfn.IFS(J340="M","Medium", J340="L","Light", J340="D","Dark")</f>
        <v>Light</v>
      </c>
      <c r="P340" t="str">
        <f>_xlfn.XLOOKUP(orders!$C$2:$C$1001,customers!$A$2:$A$1001,customers!$I$2:$I$1001,,0)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IF(_xlfn.XLOOKUP(C341,customers!$A:$A,customers!$C:$C,,0)=0,"",_xlfn.XLOOKUP(C341,customers!$A:$A,customers!$C:$C,,0))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5"/>
        <v>7.29</v>
      </c>
      <c r="N341" t="s">
        <v>6198</v>
      </c>
      <c r="O341" t="str" cm="1">
        <f t="array" ref="O341">_xlfn.IFS(J341="M","Medium", J341="L","Light", J341="D","Dark")</f>
        <v>Dark</v>
      </c>
      <c r="P341" t="str">
        <f>_xlfn.XLOOKUP(orders!$C$2:$C$1001,customers!$A$2:$A$1001,customers!$I$2:$I$1001,,0)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IF(_xlfn.XLOOKUP(C342,customers!$A:$A,customers!$C:$C,,0)=0,"",_xlfn.XLOOKUP(C342,customers!$A:$A,customers!$C:$C,,0))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5"/>
        <v>7.29</v>
      </c>
      <c r="N342" t="s">
        <v>6198</v>
      </c>
      <c r="O342" t="str" cm="1">
        <f t="array" ref="O342">_xlfn.IFS(J342="M","Medium", J342="L","Light", J342="D","Dark")</f>
        <v>Dark</v>
      </c>
      <c r="P342" t="str">
        <f>_xlfn.XLOOKUP(orders!$C$2:$C$1001,customers!$A$2:$A$1001,customers!$I$2:$I$1001,,0)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IF(_xlfn.XLOOKUP(C343,customers!$A:$A,customers!$C:$C,,0)=0,"",_xlfn.XLOOKUP(C343,customers!$A:$A,customers!$C:$C,,0))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5"/>
        <v>17.82</v>
      </c>
      <c r="N343" t="s">
        <v>6198</v>
      </c>
      <c r="O343" t="str" cm="1">
        <f t="array" ref="O343">_xlfn.IFS(J343="M","Medium", J343="L","Light", J343="D","Dark")</f>
        <v>Light</v>
      </c>
      <c r="P343" t="str">
        <f>_xlfn.XLOOKUP(orders!$C$2:$C$1001,customers!$A$2:$A$1001,customers!$I$2:$I$1001,,0)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IF(_xlfn.XLOOKUP(C344,customers!$A:$A,customers!$C:$C,,0)=0,"",_xlfn.XLOOKUP(C344,customers!$A:$A,customers!$C:$C,,0))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5"/>
        <v>38.849999999999994</v>
      </c>
      <c r="N344" t="s">
        <v>6200</v>
      </c>
      <c r="O344" t="str" cm="1">
        <f t="array" ref="O344">_xlfn.IFS(J344="M","Medium", J344="L","Light", J344="D","Dark")</f>
        <v>Dark</v>
      </c>
      <c r="P344" t="str">
        <f>_xlfn.XLOOKUP(orders!$C$2:$C$1001,customers!$A$2:$A$1001,customers!$I$2:$I$1001,,0)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IF(_xlfn.XLOOKUP(C345,customers!$A:$A,customers!$C:$C,,0)=0,"",_xlfn.XLOOKUP(C345,customers!$A:$A,customers!$C:$C,,0))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5"/>
        <v>32.22</v>
      </c>
      <c r="N345" t="s">
        <v>6197</v>
      </c>
      <c r="O345" t="str" cm="1">
        <f t="array" ref="O345">_xlfn.IFS(J345="M","Medium", J345="L","Light", J345="D","Dark")</f>
        <v>Dark</v>
      </c>
      <c r="P345" t="str">
        <f>_xlfn.XLOOKUP(orders!$C$2:$C$1001,customers!$A$2:$A$1001,customers!$I$2:$I$1001,,0)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IF(_xlfn.XLOOKUP(C346,customers!$A:$A,customers!$C:$C,,0)=0,"",_xlfn.XLOOKUP(C346,customers!$A:$A,customers!$C:$C,,0))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5"/>
        <v>19.899999999999999</v>
      </c>
      <c r="N346" t="s">
        <v>6197</v>
      </c>
      <c r="O346" t="str" cm="1">
        <f t="array" ref="O346">_xlfn.IFS(J346="M","Medium", J346="L","Light", J346="D","Dark")</f>
        <v>Medium</v>
      </c>
      <c r="P346" t="str">
        <f>_xlfn.XLOOKUP(orders!$C$2:$C$1001,customers!$A$2:$A$1001,customers!$I$2:$I$1001,,0)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IF(_xlfn.XLOOKUP(C347,customers!$A:$A,customers!$C:$C,,0)=0,"",_xlfn.XLOOKUP(C347,customers!$A:$A,customers!$C:$C,,0))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5"/>
        <v>59.75</v>
      </c>
      <c r="N347" t="s">
        <v>6197</v>
      </c>
      <c r="O347" t="str" cm="1">
        <f t="array" ref="O347">_xlfn.IFS(J347="M","Medium", J347="L","Light", J347="D","Dark")</f>
        <v>Light</v>
      </c>
      <c r="P347" t="str">
        <f>_xlfn.XLOOKUP(orders!$C$2:$C$1001,customers!$A$2:$A$1001,customers!$I$2:$I$1001,,0)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IF(_xlfn.XLOOKUP(C348,customers!$A:$A,customers!$C:$C,,0)=0,"",_xlfn.XLOOKUP(C348,customers!$A:$A,customers!$C:$C,,0))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5"/>
        <v>23.31</v>
      </c>
      <c r="N348" t="s">
        <v>6199</v>
      </c>
      <c r="O348" t="str" cm="1">
        <f t="array" ref="O348">_xlfn.IFS(J348="M","Medium", J348="L","Light", J348="D","Dark")</f>
        <v>Light</v>
      </c>
      <c r="P348" t="str">
        <f>_xlfn.XLOOKUP(orders!$C$2:$C$1001,customers!$A$2:$A$1001,customers!$I$2:$I$1001,,0)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IF(_xlfn.XLOOKUP(C349,customers!$A:$A,customers!$C:$C,,0)=0,"",_xlfn.XLOOKUP(C349,customers!$A:$A,customers!$C:$C,,0))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5"/>
        <v>43.650000000000006</v>
      </c>
      <c r="N349" t="s">
        <v>6200</v>
      </c>
      <c r="O349" t="str" cm="1">
        <f t="array" ref="O349">_xlfn.IFS(J349="M","Medium", J349="L","Light", J349="D","Dark")</f>
        <v>Medium</v>
      </c>
      <c r="P349" t="str">
        <f>_xlfn.XLOOKUP(orders!$C$2:$C$1001,customers!$A$2:$A$1001,customers!$I$2:$I$1001,,0)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IF(_xlfn.XLOOKUP(C350,customers!$A:$A,customers!$C:$C,,0)=0,"",_xlfn.XLOOKUP(C350,customers!$A:$A,customers!$C:$C,,0))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5"/>
        <v>204.92999999999995</v>
      </c>
      <c r="N350" t="s">
        <v>6198</v>
      </c>
      <c r="O350" t="str" cm="1">
        <f t="array" ref="O350">_xlfn.IFS(J350="M","Medium", J350="L","Light", J350="D","Dark")</f>
        <v>Light</v>
      </c>
      <c r="P350" t="str">
        <f>_xlfn.XLOOKUP(orders!$C$2:$C$1001,customers!$A$2:$A$1001,customers!$I$2:$I$1001,,0)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IF(_xlfn.XLOOKUP(C351,customers!$A:$A,customers!$C:$C,,0)=0,"",_xlfn.XLOOKUP(C351,customers!$A:$A,customers!$C:$C,,0))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5"/>
        <v>14.339999999999998</v>
      </c>
      <c r="N351" t="s">
        <v>6197</v>
      </c>
      <c r="O351" t="str" cm="1">
        <f t="array" ref="O351">_xlfn.IFS(J351="M","Medium", J351="L","Light", J351="D","Dark")</f>
        <v>Light</v>
      </c>
      <c r="P351" t="str">
        <f>_xlfn.XLOOKUP(orders!$C$2:$C$1001,customers!$A$2:$A$1001,customers!$I$2:$I$1001,,0)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IF(_xlfn.XLOOKUP(C352,customers!$A:$A,customers!$C:$C,,0)=0,"",_xlfn.XLOOKUP(C352,customers!$A:$A,customers!$C:$C,,0))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5"/>
        <v>23.88</v>
      </c>
      <c r="N352" t="s">
        <v>6199</v>
      </c>
      <c r="O352" t="str" cm="1">
        <f t="array" ref="O352">_xlfn.IFS(J352="M","Medium", J352="L","Light", J352="D","Dark")</f>
        <v>Dark</v>
      </c>
      <c r="P352" t="str">
        <f>_xlfn.XLOOKUP(orders!$C$2:$C$1001,customers!$A$2:$A$1001,customers!$I$2:$I$1001,,0)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IF(_xlfn.XLOOKUP(C353,customers!$A:$A,customers!$C:$C,,0)=0,"",_xlfn.XLOOKUP(C353,customers!$A:$A,customers!$C:$C,,0))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5"/>
        <v>22.5</v>
      </c>
      <c r="N353" t="s">
        <v>6199</v>
      </c>
      <c r="O353" t="str" cm="1">
        <f t="array" ref="O353">_xlfn.IFS(J353="M","Medium", J353="L","Light", J353="D","Dark")</f>
        <v>Medium</v>
      </c>
      <c r="P353" t="str">
        <f>_xlfn.XLOOKUP(orders!$C$2:$C$1001,customers!$A$2:$A$1001,customers!$I$2:$I$1001,,0)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IF(_xlfn.XLOOKUP(C354,customers!$A:$A,customers!$C:$C,,0)=0,"",_xlfn.XLOOKUP(C354,customers!$A:$A,customers!$C:$C,,0))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5"/>
        <v>36.450000000000003</v>
      </c>
      <c r="N354" t="s">
        <v>6198</v>
      </c>
      <c r="O354" t="str" cm="1">
        <f t="array" ref="O354">_xlfn.IFS(J354="M","Medium", J354="L","Light", J354="D","Dark")</f>
        <v>Dark</v>
      </c>
      <c r="P354" t="str">
        <f>_xlfn.XLOOKUP(orders!$C$2:$C$1001,customers!$A$2:$A$1001,customers!$I$2:$I$1001,,0)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IF(_xlfn.XLOOKUP(C355,customers!$A:$A,customers!$C:$C,,0)=0,"",_xlfn.XLOOKUP(C355,customers!$A:$A,customers!$C:$C,,0))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5"/>
        <v>27</v>
      </c>
      <c r="N355" t="s">
        <v>6199</v>
      </c>
      <c r="O355" t="str" cm="1">
        <f t="array" ref="O355">_xlfn.IFS(J355="M","Medium", J355="L","Light", J355="D","Dark")</f>
        <v>Medium</v>
      </c>
      <c r="P355" t="str">
        <f>_xlfn.XLOOKUP(orders!$C$2:$C$1001,customers!$A$2:$A$1001,customers!$I$2:$I$1001,,0)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IF(_xlfn.XLOOKUP(C356,customers!$A:$A,customers!$C:$C,,0)=0,"",_xlfn.XLOOKUP(C356,customers!$A:$A,customers!$C:$C,,0))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5"/>
        <v>155.24999999999997</v>
      </c>
      <c r="N356" t="s">
        <v>6199</v>
      </c>
      <c r="O356" t="str" cm="1">
        <f t="array" ref="O356">_xlfn.IFS(J356="M","Medium", J356="L","Light", J356="D","Dark")</f>
        <v>Medium</v>
      </c>
      <c r="P356" t="str">
        <f>_xlfn.XLOOKUP(orders!$C$2:$C$1001,customers!$A$2:$A$1001,customers!$I$2:$I$1001,,0)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IF(_xlfn.XLOOKUP(C357,customers!$A:$A,customers!$C:$C,,0)=0,"",_xlfn.XLOOKUP(C357,customers!$A:$A,customers!$C:$C,,0))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5"/>
        <v>114.42499999999998</v>
      </c>
      <c r="N357" t="s">
        <v>6199</v>
      </c>
      <c r="O357" t="str" cm="1">
        <f t="array" ref="O357">_xlfn.IFS(J357="M","Medium", J357="L","Light", J357="D","Dark")</f>
        <v>Dark</v>
      </c>
      <c r="P357" t="str">
        <f>_xlfn.XLOOKUP(orders!$C$2:$C$1001,customers!$A$2:$A$1001,customers!$I$2:$I$1001,,0)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IF(_xlfn.XLOOKUP(C358,customers!$A:$A,customers!$C:$C,,0)=0,"",_xlfn.XLOOKUP(C358,customers!$A:$A,customers!$C:$C,,0))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5"/>
        <v>51.8</v>
      </c>
      <c r="N358" t="s">
        <v>6200</v>
      </c>
      <c r="O358" t="str" cm="1">
        <f t="array" ref="O358">_xlfn.IFS(J358="M","Medium", J358="L","Light", J358="D","Dark")</f>
        <v>Dark</v>
      </c>
      <c r="P358" t="str">
        <f>_xlfn.XLOOKUP(orders!$C$2:$C$1001,customers!$A$2:$A$1001,customers!$I$2:$I$1001,,0)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IF(_xlfn.XLOOKUP(C359,customers!$A:$A,customers!$C:$C,,0)=0,"",_xlfn.XLOOKUP(C359,customers!$A:$A,customers!$C:$C,,0))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5"/>
        <v>155.24999999999997</v>
      </c>
      <c r="N359" t="s">
        <v>6199</v>
      </c>
      <c r="O359" t="str" cm="1">
        <f t="array" ref="O359">_xlfn.IFS(J359="M","Medium", J359="L","Light", J359="D","Dark")</f>
        <v>Medium</v>
      </c>
      <c r="P359" t="str">
        <f>_xlfn.XLOOKUP(orders!$C$2:$C$1001,customers!$A$2:$A$1001,customers!$I$2:$I$1001,,0)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IF(_xlfn.XLOOKUP(C360,customers!$A:$A,customers!$C:$C,,0)=0,"",_xlfn.XLOOKUP(C360,customers!$A:$A,customers!$C:$C,,0))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5"/>
        <v>29.784999999999997</v>
      </c>
      <c r="N360" t="s">
        <v>6199</v>
      </c>
      <c r="O360" t="str" cm="1">
        <f t="array" ref="O360">_xlfn.IFS(J360="M","Medium", J360="L","Light", J360="D","Dark")</f>
        <v>Light</v>
      </c>
      <c r="P360" t="str">
        <f>_xlfn.XLOOKUP(orders!$C$2:$C$1001,customers!$A$2:$A$1001,customers!$I$2:$I$1001,,0)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IF(_xlfn.XLOOKUP(C361,customers!$A:$A,customers!$C:$C,,0)=0,"",_xlfn.XLOOKUP(C361,customers!$A:$A,customers!$C:$C,,0))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5"/>
        <v>21.509999999999998</v>
      </c>
      <c r="N361" t="s">
        <v>6197</v>
      </c>
      <c r="O361" t="str" cm="1">
        <f t="array" ref="O361">_xlfn.IFS(J361="M","Medium", J361="L","Light", J361="D","Dark")</f>
        <v>Light</v>
      </c>
      <c r="P361" t="str">
        <f>_xlfn.XLOOKUP(orders!$C$2:$C$1001,customers!$A$2:$A$1001,customers!$I$2:$I$1001,,0)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IF(_xlfn.XLOOKUP(C362,customers!$A:$A,customers!$C:$C,,0)=0,"",_xlfn.XLOOKUP(C362,customers!$A:$A,customers!$C:$C,,0))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5"/>
        <v>41.169999999999995</v>
      </c>
      <c r="N362" t="s">
        <v>6197</v>
      </c>
      <c r="O362" t="str" cm="1">
        <f t="array" ref="O362">_xlfn.IFS(J362="M","Medium", J362="L","Light", J362="D","Dark")</f>
        <v>Dark</v>
      </c>
      <c r="P362" t="str">
        <f>_xlfn.XLOOKUP(orders!$C$2:$C$1001,customers!$A$2:$A$1001,customers!$I$2:$I$1001,,0)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IF(_xlfn.XLOOKUP(C363,customers!$A:$A,customers!$C:$C,,0)=0,"",_xlfn.XLOOKUP(C363,customers!$A:$A,customers!$C:$C,,0))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5"/>
        <v>5.97</v>
      </c>
      <c r="N363" t="s">
        <v>6197</v>
      </c>
      <c r="O363" t="str" cm="1">
        <f t="array" ref="O363">_xlfn.IFS(J363="M","Medium", J363="L","Light", J363="D","Dark")</f>
        <v>Medium</v>
      </c>
      <c r="P363" t="str">
        <f>_xlfn.XLOOKUP(orders!$C$2:$C$1001,customers!$A$2:$A$1001,customers!$I$2:$I$1001,,0)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IF(_xlfn.XLOOKUP(C364,customers!$A:$A,customers!$C:$C,,0)=0,"",_xlfn.XLOOKUP(C364,customers!$A:$A,customers!$C:$C,,0))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5"/>
        <v>74.25</v>
      </c>
      <c r="N364" t="s">
        <v>6198</v>
      </c>
      <c r="O364" t="str" cm="1">
        <f t="array" ref="O364">_xlfn.IFS(J364="M","Medium", J364="L","Light", J364="D","Dark")</f>
        <v>Light</v>
      </c>
      <c r="P364" t="str">
        <f>_xlfn.XLOOKUP(orders!$C$2:$C$1001,customers!$A$2:$A$1001,customers!$I$2:$I$1001,,0)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IF(_xlfn.XLOOKUP(C365,customers!$A:$A,customers!$C:$C,,0)=0,"",_xlfn.XLOOKUP(C365,customers!$A:$A,customers!$C:$C,,0))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5"/>
        <v>87.300000000000011</v>
      </c>
      <c r="N365" t="s">
        <v>6200</v>
      </c>
      <c r="O365" t="str" cm="1">
        <f t="array" ref="O365">_xlfn.IFS(J365="M","Medium", J365="L","Light", J365="D","Dark")</f>
        <v>Medium</v>
      </c>
      <c r="P365" t="str">
        <f>_xlfn.XLOOKUP(orders!$C$2:$C$1001,customers!$A$2:$A$1001,customers!$I$2:$I$1001,,0)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IF(_xlfn.XLOOKUP(C366,customers!$A:$A,customers!$C:$C,,0)=0,"",_xlfn.XLOOKUP(C366,customers!$A:$A,customers!$C:$C,,0))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5"/>
        <v>72.900000000000006</v>
      </c>
      <c r="N366" t="s">
        <v>6198</v>
      </c>
      <c r="O366" t="str" cm="1">
        <f t="array" ref="O366">_xlfn.IFS(J366="M","Medium", J366="L","Light", J366="D","Dark")</f>
        <v>Dark</v>
      </c>
      <c r="P366" t="str">
        <f>_xlfn.XLOOKUP(orders!$C$2:$C$1001,customers!$A$2:$A$1001,customers!$I$2:$I$1001,,0)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IF(_xlfn.XLOOKUP(C367,customers!$A:$A,customers!$C:$C,,0)=0,"",_xlfn.XLOOKUP(C367,customers!$A:$A,customers!$C:$C,,0))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5"/>
        <v>7.77</v>
      </c>
      <c r="N367" t="s">
        <v>6200</v>
      </c>
      <c r="O367" t="str" cm="1">
        <f t="array" ref="O367">_xlfn.IFS(J367="M","Medium", J367="L","Light", J367="D","Dark")</f>
        <v>Dark</v>
      </c>
      <c r="P367" t="str">
        <f>_xlfn.XLOOKUP(orders!$C$2:$C$1001,customers!$A$2:$A$1001,customers!$I$2:$I$1001,,0)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IF(_xlfn.XLOOKUP(C368,customers!$A:$A,customers!$C:$C,,0)=0,"",_xlfn.XLOOKUP(C368,customers!$A:$A,customers!$C:$C,,0))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5"/>
        <v>43.74</v>
      </c>
      <c r="N368" t="s">
        <v>6198</v>
      </c>
      <c r="O368" t="str" cm="1">
        <f t="array" ref="O368">_xlfn.IFS(J368="M","Medium", J368="L","Light", J368="D","Dark")</f>
        <v>Dark</v>
      </c>
      <c r="P368" t="str">
        <f>_xlfn.XLOOKUP(orders!$C$2:$C$1001,customers!$A$2:$A$1001,customers!$I$2:$I$1001,,0)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IF(_xlfn.XLOOKUP(C369,customers!$A:$A,customers!$C:$C,,0)=0,"",_xlfn.XLOOKUP(C369,customers!$A:$A,customers!$C:$C,,0))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5"/>
        <v>8.73</v>
      </c>
      <c r="N369" t="s">
        <v>6200</v>
      </c>
      <c r="O369" t="str" cm="1">
        <f t="array" ref="O369">_xlfn.IFS(J369="M","Medium", J369="L","Light", J369="D","Dark")</f>
        <v>Medium</v>
      </c>
      <c r="P369" t="str">
        <f>_xlfn.XLOOKUP(orders!$C$2:$C$1001,customers!$A$2:$A$1001,customers!$I$2:$I$1001,,0)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IF(_xlfn.XLOOKUP(C370,customers!$A:$A,customers!$C:$C,,0)=0,"",_xlfn.XLOOKUP(C370,customers!$A:$A,customers!$C:$C,,0))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5"/>
        <v>63.249999999999993</v>
      </c>
      <c r="N370" t="s">
        <v>6198</v>
      </c>
      <c r="O370" t="str" cm="1">
        <f t="array" ref="O370">_xlfn.IFS(J370="M","Medium", J370="L","Light", J370="D","Dark")</f>
        <v>Medium</v>
      </c>
      <c r="P370" t="str">
        <f>_xlfn.XLOOKUP(orders!$C$2:$C$1001,customers!$A$2:$A$1001,customers!$I$2:$I$1001,,0)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IF(_xlfn.XLOOKUP(C371,customers!$A:$A,customers!$C:$C,,0)=0,"",_xlfn.XLOOKUP(C371,customers!$A:$A,customers!$C:$C,,0))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5"/>
        <v>8.91</v>
      </c>
      <c r="N371" t="s">
        <v>6198</v>
      </c>
      <c r="O371" t="str" cm="1">
        <f t="array" ref="O371">_xlfn.IFS(J371="M","Medium", J371="L","Light", J371="D","Dark")</f>
        <v>Light</v>
      </c>
      <c r="P371" t="str">
        <f>_xlfn.XLOOKUP(orders!$C$2:$C$1001,customers!$A$2:$A$1001,customers!$I$2:$I$1001,,0)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IF(_xlfn.XLOOKUP(C372,customers!$A:$A,customers!$C:$C,,0)=0,"",_xlfn.XLOOKUP(C372,customers!$A:$A,customers!$C:$C,,0))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5"/>
        <v>24.3</v>
      </c>
      <c r="N372" t="s">
        <v>6198</v>
      </c>
      <c r="O372" t="str" cm="1">
        <f t="array" ref="O372">_xlfn.IFS(J372="M","Medium", J372="L","Light", J372="D","Dark")</f>
        <v>Dark</v>
      </c>
      <c r="P372" t="str">
        <f>_xlfn.XLOOKUP(orders!$C$2:$C$1001,customers!$A$2:$A$1001,customers!$I$2:$I$1001,,0)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IF(_xlfn.XLOOKUP(C373,customers!$A:$A,customers!$C:$C,,0)=0,"",_xlfn.XLOOKUP(C373,customers!$A:$A,customers!$C:$C,,0))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5"/>
        <v>46.62</v>
      </c>
      <c r="N373" t="s">
        <v>6199</v>
      </c>
      <c r="O373" t="str" cm="1">
        <f t="array" ref="O373">_xlfn.IFS(J373="M","Medium", J373="L","Light", J373="D","Dark")</f>
        <v>Light</v>
      </c>
      <c r="P373" t="str">
        <f>_xlfn.XLOOKUP(orders!$C$2:$C$1001,customers!$A$2:$A$1001,customers!$I$2:$I$1001,,0)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IF(_xlfn.XLOOKUP(C374,customers!$A:$A,customers!$C:$C,,0)=0,"",_xlfn.XLOOKUP(C374,customers!$A:$A,customers!$C:$C,,0))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5"/>
        <v>43.019999999999996</v>
      </c>
      <c r="N374" t="s">
        <v>6197</v>
      </c>
      <c r="O374" t="str" cm="1">
        <f t="array" ref="O374">_xlfn.IFS(J374="M","Medium", J374="L","Light", J374="D","Dark")</f>
        <v>Light</v>
      </c>
      <c r="P374" t="str">
        <f>_xlfn.XLOOKUP(orders!$C$2:$C$1001,customers!$A$2:$A$1001,customers!$I$2:$I$1001,,0)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IF(_xlfn.XLOOKUP(C375,customers!$A:$A,customers!$C:$C,,0)=0,"",_xlfn.XLOOKUP(C375,customers!$A:$A,customers!$C:$C,,0))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5"/>
        <v>17.91</v>
      </c>
      <c r="N375" t="s">
        <v>6199</v>
      </c>
      <c r="O375" t="str" cm="1">
        <f t="array" ref="O375">_xlfn.IFS(J375="M","Medium", J375="L","Light", J375="D","Dark")</f>
        <v>Dark</v>
      </c>
      <c r="P375" t="str">
        <f>_xlfn.XLOOKUP(orders!$C$2:$C$1001,customers!$A$2:$A$1001,customers!$I$2:$I$1001,,0)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IF(_xlfn.XLOOKUP(C376,customers!$A:$A,customers!$C:$C,,0)=0,"",_xlfn.XLOOKUP(C376,customers!$A:$A,customers!$C:$C,,0))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5"/>
        <v>38.04</v>
      </c>
      <c r="N376" t="s">
        <v>6200</v>
      </c>
      <c r="O376" t="str" cm="1">
        <f t="array" ref="O376">_xlfn.IFS(J376="M","Medium", J376="L","Light", J376="D","Dark")</f>
        <v>Light</v>
      </c>
      <c r="P376" t="str">
        <f>_xlfn.XLOOKUP(orders!$C$2:$C$1001,customers!$A$2:$A$1001,customers!$I$2:$I$1001,,0)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IF(_xlfn.XLOOKUP(C377,customers!$A:$A,customers!$C:$C,,0)=0,"",_xlfn.XLOOKUP(C377,customers!$A:$A,customers!$C:$C,,0))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5"/>
        <v>6.75</v>
      </c>
      <c r="N377" t="s">
        <v>6199</v>
      </c>
      <c r="O377" t="str" cm="1">
        <f t="array" ref="O377">_xlfn.IFS(J377="M","Medium", J377="L","Light", J377="D","Dark")</f>
        <v>Medium</v>
      </c>
      <c r="P377" t="str">
        <f>_xlfn.XLOOKUP(orders!$C$2:$C$1001,customers!$A$2:$A$1001,customers!$I$2:$I$1001,,0)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IF(_xlfn.XLOOKUP(C378,customers!$A:$A,customers!$C:$C,,0)=0,"",_xlfn.XLOOKUP(C378,customers!$A:$A,customers!$C:$C,,0))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5"/>
        <v>5.97</v>
      </c>
      <c r="N378" t="s">
        <v>6197</v>
      </c>
      <c r="O378" t="str" cm="1">
        <f t="array" ref="O378">_xlfn.IFS(J378="M","Medium", J378="L","Light", J378="D","Dark")</f>
        <v>Medium</v>
      </c>
      <c r="P378" t="str">
        <f>_xlfn.XLOOKUP(orders!$C$2:$C$1001,customers!$A$2:$A$1001,customers!$I$2:$I$1001,,0)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IF(_xlfn.XLOOKUP(C379,customers!$A:$A,customers!$C:$C,,0)=0,"",_xlfn.XLOOKUP(C379,customers!$A:$A,customers!$C:$C,,0))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5"/>
        <v>8.0549999999999997</v>
      </c>
      <c r="N379" t="s">
        <v>6197</v>
      </c>
      <c r="O379" t="str" cm="1">
        <f t="array" ref="O379">_xlfn.IFS(J379="M","Medium", J379="L","Light", J379="D","Dark")</f>
        <v>Dark</v>
      </c>
      <c r="P379" t="str">
        <f>_xlfn.XLOOKUP(orders!$C$2:$C$1001,customers!$A$2:$A$1001,customers!$I$2:$I$1001,,0)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IF(_xlfn.XLOOKUP(C380,customers!$A:$A,customers!$C:$C,,0)=0,"",_xlfn.XLOOKUP(C380,customers!$A:$A,customers!$C:$C,,0))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5"/>
        <v>23.31</v>
      </c>
      <c r="N380" t="s">
        <v>6199</v>
      </c>
      <c r="O380" t="str" cm="1">
        <f t="array" ref="O380">_xlfn.IFS(J380="M","Medium", J380="L","Light", J380="D","Dark")</f>
        <v>Light</v>
      </c>
      <c r="P380" t="str">
        <f>_xlfn.XLOOKUP(orders!$C$2:$C$1001,customers!$A$2:$A$1001,customers!$I$2:$I$1001,,0)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IF(_xlfn.XLOOKUP(C381,customers!$A:$A,customers!$C:$C,,0)=0,"",_xlfn.XLOOKUP(C381,customers!$A:$A,customers!$C:$C,,0))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5"/>
        <v>43.019999999999996</v>
      </c>
      <c r="N381" t="s">
        <v>6197</v>
      </c>
      <c r="O381" t="str" cm="1">
        <f t="array" ref="O381">_xlfn.IFS(J381="M","Medium", J381="L","Light", J381="D","Dark")</f>
        <v>Light</v>
      </c>
      <c r="P381" t="str">
        <f>_xlfn.XLOOKUP(orders!$C$2:$C$1001,customers!$A$2:$A$1001,customers!$I$2:$I$1001,,0)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IF(_xlfn.XLOOKUP(C382,customers!$A:$A,customers!$C:$C,,0)=0,"",_xlfn.XLOOKUP(C382,customers!$A:$A,customers!$C:$C,,0))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5"/>
        <v>23.31</v>
      </c>
      <c r="N382" t="s">
        <v>6200</v>
      </c>
      <c r="O382" t="str" cm="1">
        <f t="array" ref="O382">_xlfn.IFS(J382="M","Medium", J382="L","Light", J382="D","Dark")</f>
        <v>Dark</v>
      </c>
      <c r="P382" t="str">
        <f>_xlfn.XLOOKUP(orders!$C$2:$C$1001,customers!$A$2:$A$1001,customers!$I$2:$I$1001,,0)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IF(_xlfn.XLOOKUP(C383,customers!$A:$A,customers!$C:$C,,0)=0,"",_xlfn.XLOOKUP(C383,customers!$A:$A,customers!$C:$C,,0))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5"/>
        <v>14.924999999999999</v>
      </c>
      <c r="N383" t="s">
        <v>6199</v>
      </c>
      <c r="O383" t="str" cm="1">
        <f t="array" ref="O383">_xlfn.IFS(J383="M","Medium", J383="L","Light", J383="D","Dark")</f>
        <v>Dark</v>
      </c>
      <c r="P383" t="str">
        <f>_xlfn.XLOOKUP(orders!$C$2:$C$1001,customers!$A$2:$A$1001,customers!$I$2:$I$1001,,0)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IF(_xlfn.XLOOKUP(C384,customers!$A:$A,customers!$C:$C,,0)=0,"",_xlfn.XLOOKUP(C384,customers!$A:$A,customers!$C:$C,,0))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5"/>
        <v>21.87</v>
      </c>
      <c r="N384" t="s">
        <v>6198</v>
      </c>
      <c r="O384" t="str" cm="1">
        <f t="array" ref="O384">_xlfn.IFS(J384="M","Medium", J384="L","Light", J384="D","Dark")</f>
        <v>Dark</v>
      </c>
      <c r="P384" t="str">
        <f>_xlfn.XLOOKUP(orders!$C$2:$C$1001,customers!$A$2:$A$1001,customers!$I$2:$I$1001,,0)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IF(_xlfn.XLOOKUP(C385,customers!$A:$A,customers!$C:$C,,0)=0,"",_xlfn.XLOOKUP(C385,customers!$A:$A,customers!$C:$C,,0))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5"/>
        <v>53.46</v>
      </c>
      <c r="N385" t="s">
        <v>6198</v>
      </c>
      <c r="O385" t="str" cm="1">
        <f t="array" ref="O385">_xlfn.IFS(J385="M","Medium", J385="L","Light", J385="D","Dark")</f>
        <v>Light</v>
      </c>
      <c r="P385" t="str">
        <f>_xlfn.XLOOKUP(orders!$C$2:$C$1001,customers!$A$2:$A$1001,customers!$I$2:$I$1001,,0)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IF(_xlfn.XLOOKUP(C386,customers!$A:$A,customers!$C:$C,,0)=0,"",_xlfn.XLOOKUP(C386,customers!$A:$A,customers!$C:$C,,0))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5"/>
        <v>119.13999999999999</v>
      </c>
      <c r="N386" t="s">
        <v>6199</v>
      </c>
      <c r="O386" t="str" cm="1">
        <f t="array" ref="O386">_xlfn.IFS(J386="M","Medium", J386="L","Light", J386="D","Dark")</f>
        <v>Light</v>
      </c>
      <c r="P386" t="str">
        <f>_xlfn.XLOOKUP(orders!$C$2:$C$1001,customers!$A$2:$A$1001,customers!$I$2:$I$1001,,0)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IF(_xlfn.XLOOKUP(C387,customers!$A:$A,customers!$C:$C,,0)=0,"",_xlfn.XLOOKUP(C387,customers!$A:$A,customers!$C:$C,,0))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6">L387*E387</f>
        <v>43.650000000000006</v>
      </c>
      <c r="N387" t="s">
        <v>6200</v>
      </c>
      <c r="O387" t="str" cm="1">
        <f t="array" ref="O387">_xlfn.IFS(J387="M","Medium", J387="L","Light", J387="D","Dark")</f>
        <v>Medium</v>
      </c>
      <c r="P387" t="str">
        <f>_xlfn.XLOOKUP(orders!$C$2:$C$1001,customers!$A$2:$A$1001,customers!$I$2:$I$1001,,0)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IF(_xlfn.XLOOKUP(C388,customers!$A:$A,customers!$C:$C,,0)=0,"",_xlfn.XLOOKUP(C388,customers!$A:$A,customers!$C:$C,,0))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6"/>
        <v>17.91</v>
      </c>
      <c r="N388" t="s">
        <v>6199</v>
      </c>
      <c r="O388" t="str" cm="1">
        <f t="array" ref="O388">_xlfn.IFS(J388="M","Medium", J388="L","Light", J388="D","Dark")</f>
        <v>Dark</v>
      </c>
      <c r="P388" t="str">
        <f>_xlfn.XLOOKUP(orders!$C$2:$C$1001,customers!$A$2:$A$1001,customers!$I$2:$I$1001,,0)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IF(_xlfn.XLOOKUP(C389,customers!$A:$A,customers!$C:$C,,0)=0,"",_xlfn.XLOOKUP(C389,customers!$A:$A,customers!$C:$C,,0))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6"/>
        <v>74.25</v>
      </c>
      <c r="N389" t="s">
        <v>6198</v>
      </c>
      <c r="O389" t="str" cm="1">
        <f t="array" ref="O389">_xlfn.IFS(J389="M","Medium", J389="L","Light", J389="D","Dark")</f>
        <v>Light</v>
      </c>
      <c r="P389" t="str">
        <f>_xlfn.XLOOKUP(orders!$C$2:$C$1001,customers!$A$2:$A$1001,customers!$I$2:$I$1001,,0)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IF(_xlfn.XLOOKUP(C390,customers!$A:$A,customers!$C:$C,,0)=0,"",_xlfn.XLOOKUP(C390,customers!$A:$A,customers!$C:$C,,0))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6"/>
        <v>11.654999999999999</v>
      </c>
      <c r="N390" t="s">
        <v>6200</v>
      </c>
      <c r="O390" t="str" cm="1">
        <f t="array" ref="O390">_xlfn.IFS(J390="M","Medium", J390="L","Light", J390="D","Dark")</f>
        <v>Dark</v>
      </c>
      <c r="P390" t="str">
        <f>_xlfn.XLOOKUP(orders!$C$2:$C$1001,customers!$A$2:$A$1001,customers!$I$2:$I$1001,,0)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IF(_xlfn.XLOOKUP(C391,customers!$A:$A,customers!$C:$C,,0)=0,"",_xlfn.XLOOKUP(C391,customers!$A:$A,customers!$C:$C,,0))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6"/>
        <v>23.31</v>
      </c>
      <c r="N391" t="s">
        <v>6200</v>
      </c>
      <c r="O391" t="str" cm="1">
        <f t="array" ref="O391">_xlfn.IFS(J391="M","Medium", J391="L","Light", J391="D","Dark")</f>
        <v>Dark</v>
      </c>
      <c r="P391" t="str">
        <f>_xlfn.XLOOKUP(orders!$C$2:$C$1001,customers!$A$2:$A$1001,customers!$I$2:$I$1001,,0)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IF(_xlfn.XLOOKUP(C392,customers!$A:$A,customers!$C:$C,,0)=0,"",_xlfn.XLOOKUP(C392,customers!$A:$A,customers!$C:$C,,0))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6"/>
        <v>14.58</v>
      </c>
      <c r="N392" t="s">
        <v>6198</v>
      </c>
      <c r="O392" t="str" cm="1">
        <f t="array" ref="O392">_xlfn.IFS(J392="M","Medium", J392="L","Light", J392="D","Dark")</f>
        <v>Dark</v>
      </c>
      <c r="P392" t="str">
        <f>_xlfn.XLOOKUP(orders!$C$2:$C$1001,customers!$A$2:$A$1001,customers!$I$2:$I$1001,,0)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IF(_xlfn.XLOOKUP(C393,customers!$A:$A,customers!$C:$C,,0)=0,"",_xlfn.XLOOKUP(C393,customers!$A:$A,customers!$C:$C,,0))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6"/>
        <v>13.5</v>
      </c>
      <c r="N393" t="s">
        <v>6199</v>
      </c>
      <c r="O393" t="str" cm="1">
        <f t="array" ref="O393">_xlfn.IFS(J393="M","Medium", J393="L","Light", J393="D","Dark")</f>
        <v>Medium</v>
      </c>
      <c r="P393" t="str">
        <f>_xlfn.XLOOKUP(orders!$C$2:$C$1001,customers!$A$2:$A$1001,customers!$I$2:$I$1001,,0)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IF(_xlfn.XLOOKUP(C394,customers!$A:$A,customers!$C:$C,,0)=0,"",_xlfn.XLOOKUP(C394,customers!$A:$A,customers!$C:$C,,0))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6"/>
        <v>89.1</v>
      </c>
      <c r="N394" t="s">
        <v>6198</v>
      </c>
      <c r="O394" t="str" cm="1">
        <f t="array" ref="O394">_xlfn.IFS(J394="M","Medium", J394="L","Light", J394="D","Dark")</f>
        <v>Light</v>
      </c>
      <c r="P394" t="str">
        <f>_xlfn.XLOOKUP(orders!$C$2:$C$1001,customers!$A$2:$A$1001,customers!$I$2:$I$1001,,0)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IF(_xlfn.XLOOKUP(C395,customers!$A:$A,customers!$C:$C,,0)=0,"",_xlfn.XLOOKUP(C395,customers!$A:$A,customers!$C:$C,,0))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6"/>
        <v>3.8849999999999998</v>
      </c>
      <c r="N395" t="s">
        <v>6199</v>
      </c>
      <c r="O395" t="str" cm="1">
        <f t="array" ref="O395">_xlfn.IFS(J395="M","Medium", J395="L","Light", J395="D","Dark")</f>
        <v>Light</v>
      </c>
      <c r="P395" t="str">
        <f>_xlfn.XLOOKUP(orders!$C$2:$C$1001,customers!$A$2:$A$1001,customers!$I$2:$I$1001,,0)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IF(_xlfn.XLOOKUP(C396,customers!$A:$A,customers!$C:$C,,0)=0,"",_xlfn.XLOOKUP(C396,customers!$A:$A,customers!$C:$C,,0))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6"/>
        <v>109.93999999999998</v>
      </c>
      <c r="N396" t="s">
        <v>6197</v>
      </c>
      <c r="O396" t="str" cm="1">
        <f t="array" ref="O396">_xlfn.IFS(J396="M","Medium", J396="L","Light", J396="D","Dark")</f>
        <v>Light</v>
      </c>
      <c r="P396" t="str">
        <f>_xlfn.XLOOKUP(orders!$C$2:$C$1001,customers!$A$2:$A$1001,customers!$I$2:$I$1001,,0)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IF(_xlfn.XLOOKUP(C397,customers!$A:$A,customers!$C:$C,,0)=0,"",_xlfn.XLOOKUP(C397,customers!$A:$A,customers!$C:$C,,0))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6"/>
        <v>46.62</v>
      </c>
      <c r="N397" t="s">
        <v>6200</v>
      </c>
      <c r="O397" t="str" cm="1">
        <f t="array" ref="O397">_xlfn.IFS(J397="M","Medium", J397="L","Light", J397="D","Dark")</f>
        <v>Dark</v>
      </c>
      <c r="P397" t="str">
        <f>_xlfn.XLOOKUP(orders!$C$2:$C$1001,customers!$A$2:$A$1001,customers!$I$2:$I$1001,,0)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IF(_xlfn.XLOOKUP(C398,customers!$A:$A,customers!$C:$C,,0)=0,"",_xlfn.XLOOKUP(C398,customers!$A:$A,customers!$C:$C,,0))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6"/>
        <v>38.849999999999994</v>
      </c>
      <c r="N398" t="s">
        <v>6199</v>
      </c>
      <c r="O398" t="str" cm="1">
        <f t="array" ref="O398">_xlfn.IFS(J398="M","Medium", J398="L","Light", J398="D","Dark")</f>
        <v>Light</v>
      </c>
      <c r="P398" t="str">
        <f>_xlfn.XLOOKUP(orders!$C$2:$C$1001,customers!$A$2:$A$1001,customers!$I$2:$I$1001,,0)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IF(_xlfn.XLOOKUP(C399,customers!$A:$A,customers!$C:$C,,0)=0,"",_xlfn.XLOOKUP(C399,customers!$A:$A,customers!$C:$C,,0))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6"/>
        <v>31.08</v>
      </c>
      <c r="N399" t="s">
        <v>6200</v>
      </c>
      <c r="O399" t="str" cm="1">
        <f t="array" ref="O399">_xlfn.IFS(J399="M","Medium", J399="L","Light", J399="D","Dark")</f>
        <v>Dark</v>
      </c>
      <c r="P399" t="str">
        <f>_xlfn.XLOOKUP(orders!$C$2:$C$1001,customers!$A$2:$A$1001,customers!$I$2:$I$1001,,0)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IF(_xlfn.XLOOKUP(C400,customers!$A:$A,customers!$C:$C,,0)=0,"",_xlfn.XLOOKUP(C400,customers!$A:$A,customers!$C:$C,,0))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6"/>
        <v>17.91</v>
      </c>
      <c r="N400" t="s">
        <v>6199</v>
      </c>
      <c r="O400" t="str" cm="1">
        <f t="array" ref="O400">_xlfn.IFS(J400="M","Medium", J400="L","Light", J400="D","Dark")</f>
        <v>Dark</v>
      </c>
      <c r="P400" t="str">
        <f>_xlfn.XLOOKUP(orders!$C$2:$C$1001,customers!$A$2:$A$1001,customers!$I$2:$I$1001,,0)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IF(_xlfn.XLOOKUP(C401,customers!$A:$A,customers!$C:$C,,0)=0,"",_xlfn.XLOOKUP(C401,customers!$A:$A,customers!$C:$C,,0))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6"/>
        <v>167.67000000000002</v>
      </c>
      <c r="N401" t="s">
        <v>6198</v>
      </c>
      <c r="O401" t="str" cm="1">
        <f t="array" ref="O401">_xlfn.IFS(J401="M","Medium", J401="L","Light", J401="D","Dark")</f>
        <v>Dark</v>
      </c>
      <c r="P401" t="str">
        <f>_xlfn.XLOOKUP(orders!$C$2:$C$1001,customers!$A$2:$A$1001,customers!$I$2:$I$1001,,0)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IF(_xlfn.XLOOKUP(C402,customers!$A:$A,customers!$C:$C,,0)=0,"",_xlfn.XLOOKUP(C402,customers!$A:$A,customers!$C:$C,,0))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6"/>
        <v>63.4</v>
      </c>
      <c r="N402" t="s">
        <v>6200</v>
      </c>
      <c r="O402" t="str" cm="1">
        <f t="array" ref="O402">_xlfn.IFS(J402="M","Medium", J402="L","Light", J402="D","Dark")</f>
        <v>Light</v>
      </c>
      <c r="P402" t="str">
        <f>_xlfn.XLOOKUP(orders!$C$2:$C$1001,customers!$A$2:$A$1001,customers!$I$2:$I$1001,,0)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IF(_xlfn.XLOOKUP(C403,customers!$A:$A,customers!$C:$C,,0)=0,"",_xlfn.XLOOKUP(C403,customers!$A:$A,customers!$C:$C,,0))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6"/>
        <v>8.73</v>
      </c>
      <c r="N403" t="s">
        <v>6200</v>
      </c>
      <c r="O403" t="str" cm="1">
        <f t="array" ref="O403">_xlfn.IFS(J403="M","Medium", J403="L","Light", J403="D","Dark")</f>
        <v>Medium</v>
      </c>
      <c r="P403" t="str">
        <f>_xlfn.XLOOKUP(orders!$C$2:$C$1001,customers!$A$2:$A$1001,customers!$I$2:$I$1001,,0)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IF(_xlfn.XLOOKUP(C404,customers!$A:$A,customers!$C:$C,,0)=0,"",_xlfn.XLOOKUP(C404,customers!$A:$A,customers!$C:$C,,0))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6"/>
        <v>26.849999999999998</v>
      </c>
      <c r="N404" t="s">
        <v>6197</v>
      </c>
      <c r="O404" t="str" cm="1">
        <f t="array" ref="O404">_xlfn.IFS(J404="M","Medium", J404="L","Light", J404="D","Dark")</f>
        <v>Dark</v>
      </c>
      <c r="P404" t="str">
        <f>_xlfn.XLOOKUP(orders!$C$2:$C$1001,customers!$A$2:$A$1001,customers!$I$2:$I$1001,,0)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IF(_xlfn.XLOOKUP(C405,customers!$A:$A,customers!$C:$C,,0)=0,"",_xlfn.XLOOKUP(C405,customers!$A:$A,customers!$C:$C,,0))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6"/>
        <v>9.51</v>
      </c>
      <c r="N405" t="s">
        <v>6200</v>
      </c>
      <c r="O405" t="str" cm="1">
        <f t="array" ref="O405">_xlfn.IFS(J405="M","Medium", J405="L","Light", J405="D","Dark")</f>
        <v>Light</v>
      </c>
      <c r="P405" t="str">
        <f>_xlfn.XLOOKUP(orders!$C$2:$C$1001,customers!$A$2:$A$1001,customers!$I$2:$I$1001,,0)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IF(_xlfn.XLOOKUP(C406,customers!$A:$A,customers!$C:$C,,0)=0,"",_xlfn.XLOOKUP(C406,customers!$A:$A,customers!$C:$C,,0))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6"/>
        <v>39.799999999999997</v>
      </c>
      <c r="N406" t="s">
        <v>6199</v>
      </c>
      <c r="O406" t="str" cm="1">
        <f t="array" ref="O406">_xlfn.IFS(J406="M","Medium", J406="L","Light", J406="D","Dark")</f>
        <v>Dark</v>
      </c>
      <c r="P406" t="str">
        <f>_xlfn.XLOOKUP(orders!$C$2:$C$1001,customers!$A$2:$A$1001,customers!$I$2:$I$1001,,0)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IF(_xlfn.XLOOKUP(C407,customers!$A:$A,customers!$C:$C,,0)=0,"",_xlfn.XLOOKUP(C407,customers!$A:$A,customers!$C:$C,,0))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6"/>
        <v>24.75</v>
      </c>
      <c r="N407" t="s">
        <v>6198</v>
      </c>
      <c r="O407" t="str" cm="1">
        <f t="array" ref="O407">_xlfn.IFS(J407="M","Medium", J407="L","Light", J407="D","Dark")</f>
        <v>Medium</v>
      </c>
      <c r="P407" t="str">
        <f>_xlfn.XLOOKUP(orders!$C$2:$C$1001,customers!$A$2:$A$1001,customers!$I$2:$I$1001,,0)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IF(_xlfn.XLOOKUP(C408,customers!$A:$A,customers!$C:$C,,0)=0,"",_xlfn.XLOOKUP(C408,customers!$A:$A,customers!$C:$C,,0))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6"/>
        <v>68.75</v>
      </c>
      <c r="N408" t="s">
        <v>6198</v>
      </c>
      <c r="O408" t="str" cm="1">
        <f t="array" ref="O408">_xlfn.IFS(J408="M","Medium", J408="L","Light", J408="D","Dark")</f>
        <v>Medium</v>
      </c>
      <c r="P408" t="str">
        <f>_xlfn.XLOOKUP(orders!$C$2:$C$1001,customers!$A$2:$A$1001,customers!$I$2:$I$1001,,0)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IF(_xlfn.XLOOKUP(C409,customers!$A:$A,customers!$C:$C,,0)=0,"",_xlfn.XLOOKUP(C409,customers!$A:$A,customers!$C:$C,,0))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6"/>
        <v>49.5</v>
      </c>
      <c r="N409" t="s">
        <v>6198</v>
      </c>
      <c r="O409" t="str" cm="1">
        <f t="array" ref="O409">_xlfn.IFS(J409="M","Medium", J409="L","Light", J409="D","Dark")</f>
        <v>Medium</v>
      </c>
      <c r="P409" t="str">
        <f>_xlfn.XLOOKUP(orders!$C$2:$C$1001,customers!$A$2:$A$1001,customers!$I$2:$I$1001,,0)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IF(_xlfn.XLOOKUP(C410,customers!$A:$A,customers!$C:$C,,0)=0,"",_xlfn.XLOOKUP(C410,customers!$A:$A,customers!$C:$C,,0))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6"/>
        <v>51.749999999999993</v>
      </c>
      <c r="N410" t="s">
        <v>6199</v>
      </c>
      <c r="O410" t="str" cm="1">
        <f t="array" ref="O410">_xlfn.IFS(J410="M","Medium", J410="L","Light", J410="D","Dark")</f>
        <v>Medium</v>
      </c>
      <c r="P410" t="str">
        <f>_xlfn.XLOOKUP(orders!$C$2:$C$1001,customers!$A$2:$A$1001,customers!$I$2:$I$1001,,0)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IF(_xlfn.XLOOKUP(C411,customers!$A:$A,customers!$C:$C,,0)=0,"",_xlfn.XLOOKUP(C411,customers!$A:$A,customers!$C:$C,,0))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6"/>
        <v>47.55</v>
      </c>
      <c r="N411" t="s">
        <v>6200</v>
      </c>
      <c r="O411" t="str" cm="1">
        <f t="array" ref="O411">_xlfn.IFS(J411="M","Medium", J411="L","Light", J411="D","Dark")</f>
        <v>Light</v>
      </c>
      <c r="P411" t="str">
        <f>_xlfn.XLOOKUP(orders!$C$2:$C$1001,customers!$A$2:$A$1001,customers!$I$2:$I$1001,,0)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IF(_xlfn.XLOOKUP(C412,customers!$A:$A,customers!$C:$C,,0)=0,"",_xlfn.XLOOKUP(C412,customers!$A:$A,customers!$C:$C,,0))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6"/>
        <v>15.54</v>
      </c>
      <c r="N412" t="s">
        <v>6199</v>
      </c>
      <c r="O412" t="str" cm="1">
        <f t="array" ref="O412">_xlfn.IFS(J412="M","Medium", J412="L","Light", J412="D","Dark")</f>
        <v>Light</v>
      </c>
      <c r="P412" t="str">
        <f>_xlfn.XLOOKUP(orders!$C$2:$C$1001,customers!$A$2:$A$1001,customers!$I$2:$I$1001,,0)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IF(_xlfn.XLOOKUP(C413,customers!$A:$A,customers!$C:$C,,0)=0,"",_xlfn.XLOOKUP(C413,customers!$A:$A,customers!$C:$C,,0))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6"/>
        <v>87.300000000000011</v>
      </c>
      <c r="N413" t="s">
        <v>6200</v>
      </c>
      <c r="O413" t="str" cm="1">
        <f t="array" ref="O413">_xlfn.IFS(J413="M","Medium", J413="L","Light", J413="D","Dark")</f>
        <v>Medium</v>
      </c>
      <c r="P413" t="str">
        <f>_xlfn.XLOOKUP(orders!$C$2:$C$1001,customers!$A$2:$A$1001,customers!$I$2:$I$1001,,0)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IF(_xlfn.XLOOKUP(C414,customers!$A:$A,customers!$C:$C,,0)=0,"",_xlfn.XLOOKUP(C414,customers!$A:$A,customers!$C:$C,,0))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6"/>
        <v>56.25</v>
      </c>
      <c r="N414" t="s">
        <v>6199</v>
      </c>
      <c r="O414" t="str" cm="1">
        <f t="array" ref="O414">_xlfn.IFS(J414="M","Medium", J414="L","Light", J414="D","Dark")</f>
        <v>Medium</v>
      </c>
      <c r="P414" t="str">
        <f>_xlfn.XLOOKUP(orders!$C$2:$C$1001,customers!$A$2:$A$1001,customers!$I$2:$I$1001,,0)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IF(_xlfn.XLOOKUP(C415,customers!$A:$A,customers!$C:$C,,0)=0,"",_xlfn.XLOOKUP(C415,customers!$A:$A,customers!$C:$C,,0))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6"/>
        <v>36.454999999999998</v>
      </c>
      <c r="N415" t="s">
        <v>6200</v>
      </c>
      <c r="O415" t="str" cm="1">
        <f t="array" ref="O415">_xlfn.IFS(J415="M","Medium", J415="L","Light", J415="D","Dark")</f>
        <v>Light</v>
      </c>
      <c r="P415" t="str">
        <f>_xlfn.XLOOKUP(orders!$C$2:$C$1001,customers!$A$2:$A$1001,customers!$I$2:$I$1001,,0)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IF(_xlfn.XLOOKUP(C416,customers!$A:$A,customers!$C:$C,,0)=0,"",_xlfn.XLOOKUP(C416,customers!$A:$A,customers!$C:$C,,0))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6"/>
        <v>10.754999999999999</v>
      </c>
      <c r="N416" t="s">
        <v>6197</v>
      </c>
      <c r="O416" t="str" cm="1">
        <f t="array" ref="O416">_xlfn.IFS(J416="M","Medium", J416="L","Light", J416="D","Dark")</f>
        <v>Light</v>
      </c>
      <c r="P416" t="str">
        <f>_xlfn.XLOOKUP(orders!$C$2:$C$1001,customers!$A$2:$A$1001,customers!$I$2:$I$1001,,0)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IF(_xlfn.XLOOKUP(C417,customers!$A:$A,customers!$C:$C,,0)=0,"",_xlfn.XLOOKUP(C417,customers!$A:$A,customers!$C:$C,,0))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6"/>
        <v>8.9550000000000001</v>
      </c>
      <c r="N417" t="s">
        <v>6197</v>
      </c>
      <c r="O417" t="str" cm="1">
        <f t="array" ref="O417">_xlfn.IFS(J417="M","Medium", J417="L","Light", J417="D","Dark")</f>
        <v>Medium</v>
      </c>
      <c r="P417" t="str">
        <f>_xlfn.XLOOKUP(orders!$C$2:$C$1001,customers!$A$2:$A$1001,customers!$I$2:$I$1001,,0)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IF(_xlfn.XLOOKUP(C418,customers!$A:$A,customers!$C:$C,,0)=0,"",_xlfn.XLOOKUP(C418,customers!$A:$A,customers!$C:$C,,0))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6"/>
        <v>23.31</v>
      </c>
      <c r="N418" t="s">
        <v>6199</v>
      </c>
      <c r="O418" t="str" cm="1">
        <f t="array" ref="O418">_xlfn.IFS(J418="M","Medium", J418="L","Light", J418="D","Dark")</f>
        <v>Light</v>
      </c>
      <c r="P418" t="str">
        <f>_xlfn.XLOOKUP(orders!$C$2:$C$1001,customers!$A$2:$A$1001,customers!$I$2:$I$1001,,0)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IF(_xlfn.XLOOKUP(C419,customers!$A:$A,customers!$C:$C,,0)=0,"",_xlfn.XLOOKUP(C419,customers!$A:$A,customers!$C:$C,,0))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6"/>
        <v>29.784999999999997</v>
      </c>
      <c r="N419" t="s">
        <v>6199</v>
      </c>
      <c r="O419" t="str" cm="1">
        <f t="array" ref="O419">_xlfn.IFS(J419="M","Medium", J419="L","Light", J419="D","Dark")</f>
        <v>Light</v>
      </c>
      <c r="P419" t="str">
        <f>_xlfn.XLOOKUP(orders!$C$2:$C$1001,customers!$A$2:$A$1001,customers!$I$2:$I$1001,,0)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IF(_xlfn.XLOOKUP(C420,customers!$A:$A,customers!$C:$C,,0)=0,"",_xlfn.XLOOKUP(C420,customers!$A:$A,customers!$C:$C,,0))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6"/>
        <v>148.92499999999998</v>
      </c>
      <c r="N420" t="s">
        <v>6199</v>
      </c>
      <c r="O420" t="str" cm="1">
        <f t="array" ref="O420">_xlfn.IFS(J420="M","Medium", J420="L","Light", J420="D","Dark")</f>
        <v>Light</v>
      </c>
      <c r="P420" t="str">
        <f>_xlfn.XLOOKUP(orders!$C$2:$C$1001,customers!$A$2:$A$1001,customers!$I$2:$I$1001,,0)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IF(_xlfn.XLOOKUP(C421,customers!$A:$A,customers!$C:$C,,0)=0,"",_xlfn.XLOOKUP(C421,customers!$A:$A,customers!$C:$C,,0))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6"/>
        <v>8.73</v>
      </c>
      <c r="N421" t="s">
        <v>6200</v>
      </c>
      <c r="O421" t="str" cm="1">
        <f t="array" ref="O421">_xlfn.IFS(J421="M","Medium", J421="L","Light", J421="D","Dark")</f>
        <v>Medium</v>
      </c>
      <c r="P421" t="str">
        <f>_xlfn.XLOOKUP(orders!$C$2:$C$1001,customers!$A$2:$A$1001,customers!$I$2:$I$1001,,0)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IF(_xlfn.XLOOKUP(C422,customers!$A:$A,customers!$C:$C,,0)=0,"",_xlfn.XLOOKUP(C422,customers!$A:$A,customers!$C:$C,,0))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6"/>
        <v>31.08</v>
      </c>
      <c r="N422" t="s">
        <v>6200</v>
      </c>
      <c r="O422" t="str" cm="1">
        <f t="array" ref="O422">_xlfn.IFS(J422="M","Medium", J422="L","Light", J422="D","Dark")</f>
        <v>Dark</v>
      </c>
      <c r="P422" t="str">
        <f>_xlfn.XLOOKUP(orders!$C$2:$C$1001,customers!$A$2:$A$1001,customers!$I$2:$I$1001,,0)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IF(_xlfn.XLOOKUP(C423,customers!$A:$A,customers!$C:$C,,0)=0,"",_xlfn.XLOOKUP(C423,customers!$A:$A,customers!$C:$C,,0))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6"/>
        <v>137.31</v>
      </c>
      <c r="N423" t="s">
        <v>6199</v>
      </c>
      <c r="O423" t="str" cm="1">
        <f t="array" ref="O423">_xlfn.IFS(J423="M","Medium", J423="L","Light", J423="D","Dark")</f>
        <v>Dark</v>
      </c>
      <c r="P423" t="str">
        <f>_xlfn.XLOOKUP(orders!$C$2:$C$1001,customers!$A$2:$A$1001,customers!$I$2:$I$1001,,0)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IF(_xlfn.XLOOKUP(C424,customers!$A:$A,customers!$C:$C,,0)=0,"",_xlfn.XLOOKUP(C424,customers!$A:$A,customers!$C:$C,,0))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6"/>
        <v>29.849999999999998</v>
      </c>
      <c r="N424" t="s">
        <v>6199</v>
      </c>
      <c r="O424" t="str" cm="1">
        <f t="array" ref="O424">_xlfn.IFS(J424="M","Medium", J424="L","Light", J424="D","Dark")</f>
        <v>Dark</v>
      </c>
      <c r="P424" t="str">
        <f>_xlfn.XLOOKUP(orders!$C$2:$C$1001,customers!$A$2:$A$1001,customers!$I$2:$I$1001,,0)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IF(_xlfn.XLOOKUP(C425,customers!$A:$A,customers!$C:$C,,0)=0,"",_xlfn.XLOOKUP(C425,customers!$A:$A,customers!$C:$C,,0))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6"/>
        <v>17.91</v>
      </c>
      <c r="N425" t="s">
        <v>6197</v>
      </c>
      <c r="O425" t="str" cm="1">
        <f t="array" ref="O425">_xlfn.IFS(J425="M","Medium", J425="L","Light", J425="D","Dark")</f>
        <v>Medium</v>
      </c>
      <c r="P425" t="str">
        <f>_xlfn.XLOOKUP(orders!$C$2:$C$1001,customers!$A$2:$A$1001,customers!$I$2:$I$1001,,0)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IF(_xlfn.XLOOKUP(C426,customers!$A:$A,customers!$C:$C,,0)=0,"",_xlfn.XLOOKUP(C426,customers!$A:$A,customers!$C:$C,,0))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6"/>
        <v>26.73</v>
      </c>
      <c r="N426" t="s">
        <v>6198</v>
      </c>
      <c r="O426" t="str" cm="1">
        <f t="array" ref="O426">_xlfn.IFS(J426="M","Medium", J426="L","Light", J426="D","Dark")</f>
        <v>Light</v>
      </c>
      <c r="P426" t="str">
        <f>_xlfn.XLOOKUP(orders!$C$2:$C$1001,customers!$A$2:$A$1001,customers!$I$2:$I$1001,,0)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IF(_xlfn.XLOOKUP(C427,customers!$A:$A,customers!$C:$C,,0)=0,"",_xlfn.XLOOKUP(C427,customers!$A:$A,customers!$C:$C,,0))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6"/>
        <v>17.899999999999999</v>
      </c>
      <c r="N427" t="s">
        <v>6197</v>
      </c>
      <c r="O427" t="str" cm="1">
        <f t="array" ref="O427">_xlfn.IFS(J427="M","Medium", J427="L","Light", J427="D","Dark")</f>
        <v>Dark</v>
      </c>
      <c r="P427" t="str">
        <f>_xlfn.XLOOKUP(orders!$C$2:$C$1001,customers!$A$2:$A$1001,customers!$I$2:$I$1001,,0)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IF(_xlfn.XLOOKUP(C428,customers!$A:$A,customers!$C:$C,,0)=0,"",_xlfn.XLOOKUP(C428,customers!$A:$A,customers!$C:$C,,0))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6"/>
        <v>14.339999999999998</v>
      </c>
      <c r="N428" t="s">
        <v>6197</v>
      </c>
      <c r="O428" t="str" cm="1">
        <f t="array" ref="O428">_xlfn.IFS(J428="M","Medium", J428="L","Light", J428="D","Dark")</f>
        <v>Light</v>
      </c>
      <c r="P428" t="str">
        <f>_xlfn.XLOOKUP(orders!$C$2:$C$1001,customers!$A$2:$A$1001,customers!$I$2:$I$1001,,0)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IF(_xlfn.XLOOKUP(C429,customers!$A:$A,customers!$C:$C,,0)=0,"",_xlfn.XLOOKUP(C429,customers!$A:$A,customers!$C:$C,,0))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6"/>
        <v>77.624999999999986</v>
      </c>
      <c r="N429" t="s">
        <v>6199</v>
      </c>
      <c r="O429" t="str" cm="1">
        <f t="array" ref="O429">_xlfn.IFS(J429="M","Medium", J429="L","Light", J429="D","Dark")</f>
        <v>Medium</v>
      </c>
      <c r="P429" t="str">
        <f>_xlfn.XLOOKUP(orders!$C$2:$C$1001,customers!$A$2:$A$1001,customers!$I$2:$I$1001,,0)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IF(_xlfn.XLOOKUP(C430,customers!$A:$A,customers!$C:$C,,0)=0,"",_xlfn.XLOOKUP(C430,customers!$A:$A,customers!$C:$C,,0))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6"/>
        <v>59.75</v>
      </c>
      <c r="N430" t="s">
        <v>6197</v>
      </c>
      <c r="O430" t="str" cm="1">
        <f t="array" ref="O430">_xlfn.IFS(J430="M","Medium", J430="L","Light", J430="D","Dark")</f>
        <v>Light</v>
      </c>
      <c r="P430" t="str">
        <f>_xlfn.XLOOKUP(orders!$C$2:$C$1001,customers!$A$2:$A$1001,customers!$I$2:$I$1001,,0)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IF(_xlfn.XLOOKUP(C431,customers!$A:$A,customers!$C:$C,,0)=0,"",_xlfn.XLOOKUP(C431,customers!$A:$A,customers!$C:$C,,0))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6"/>
        <v>77.699999999999989</v>
      </c>
      <c r="N431" t="s">
        <v>6199</v>
      </c>
      <c r="O431" t="str" cm="1">
        <f t="array" ref="O431">_xlfn.IFS(J431="M","Medium", J431="L","Light", J431="D","Dark")</f>
        <v>Light</v>
      </c>
      <c r="P431" t="str">
        <f>_xlfn.XLOOKUP(orders!$C$2:$C$1001,customers!$A$2:$A$1001,customers!$I$2:$I$1001,,0)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IF(_xlfn.XLOOKUP(C432,customers!$A:$A,customers!$C:$C,,0)=0,"",_xlfn.XLOOKUP(C432,customers!$A:$A,customers!$C:$C,,0))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6"/>
        <v>5.3699999999999992</v>
      </c>
      <c r="N432" t="s">
        <v>6197</v>
      </c>
      <c r="O432" t="str" cm="1">
        <f t="array" ref="O432">_xlfn.IFS(J432="M","Medium", J432="L","Light", J432="D","Dark")</f>
        <v>Dark</v>
      </c>
      <c r="P432" t="str">
        <f>_xlfn.XLOOKUP(orders!$C$2:$C$1001,customers!$A$2:$A$1001,customers!$I$2:$I$1001,,0)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IF(_xlfn.XLOOKUP(C433,customers!$A:$A,customers!$C:$C,,0)=0,"",_xlfn.XLOOKUP(C433,customers!$A:$A,customers!$C:$C,,0))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6"/>
        <v>83.835000000000008</v>
      </c>
      <c r="N433" t="s">
        <v>6198</v>
      </c>
      <c r="O433" t="str" cm="1">
        <f t="array" ref="O433">_xlfn.IFS(J433="M","Medium", J433="L","Light", J433="D","Dark")</f>
        <v>Dark</v>
      </c>
      <c r="P433" t="str">
        <f>_xlfn.XLOOKUP(orders!$C$2:$C$1001,customers!$A$2:$A$1001,customers!$I$2:$I$1001,,0)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IF(_xlfn.XLOOKUP(C434,customers!$A:$A,customers!$C:$C,,0)=0,"",_xlfn.XLOOKUP(C434,customers!$A:$A,customers!$C:$C,,0))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6"/>
        <v>22.5</v>
      </c>
      <c r="N434" t="s">
        <v>6199</v>
      </c>
      <c r="O434" t="str" cm="1">
        <f t="array" ref="O434">_xlfn.IFS(J434="M","Medium", J434="L","Light", J434="D","Dark")</f>
        <v>Medium</v>
      </c>
      <c r="P434" t="str">
        <f>_xlfn.XLOOKUP(orders!$C$2:$C$1001,customers!$A$2:$A$1001,customers!$I$2:$I$1001,,0)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IF(_xlfn.XLOOKUP(C435,customers!$A:$A,customers!$C:$C,,0)=0,"",_xlfn.XLOOKUP(C435,customers!$A:$A,customers!$C:$C,,0))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6"/>
        <v>200.78999999999996</v>
      </c>
      <c r="N435" t="s">
        <v>6200</v>
      </c>
      <c r="O435" t="str" cm="1">
        <f t="array" ref="O435">_xlfn.IFS(J435="M","Medium", J435="L","Light", J435="D","Dark")</f>
        <v>Medium</v>
      </c>
      <c r="P435" t="str">
        <f>_xlfn.XLOOKUP(orders!$C$2:$C$1001,customers!$A$2:$A$1001,customers!$I$2:$I$1001,,0)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IF(_xlfn.XLOOKUP(C436,customers!$A:$A,customers!$C:$C,,0)=0,"",_xlfn.XLOOKUP(C436,customers!$A:$A,customers!$C:$C,,0))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6"/>
        <v>67.5</v>
      </c>
      <c r="N436" t="s">
        <v>6199</v>
      </c>
      <c r="O436" t="str" cm="1">
        <f t="array" ref="O436">_xlfn.IFS(J436="M","Medium", J436="L","Light", J436="D","Dark")</f>
        <v>Medium</v>
      </c>
      <c r="P436" t="str">
        <f>_xlfn.XLOOKUP(orders!$C$2:$C$1001,customers!$A$2:$A$1001,customers!$I$2:$I$1001,,0)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IF(_xlfn.XLOOKUP(C437,customers!$A:$A,customers!$C:$C,,0)=0,"",_xlfn.XLOOKUP(C437,customers!$A:$A,customers!$C:$C,,0))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6"/>
        <v>8.25</v>
      </c>
      <c r="N437" t="s">
        <v>6198</v>
      </c>
      <c r="O437" t="str" cm="1">
        <f t="array" ref="O437">_xlfn.IFS(J437="M","Medium", J437="L","Light", J437="D","Dark")</f>
        <v>Medium</v>
      </c>
      <c r="P437" t="str">
        <f>_xlfn.XLOOKUP(orders!$C$2:$C$1001,customers!$A$2:$A$1001,customers!$I$2:$I$1001,,0)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IF(_xlfn.XLOOKUP(C438,customers!$A:$A,customers!$C:$C,,0)=0,"",_xlfn.XLOOKUP(C438,customers!$A:$A,customers!$C:$C,,0))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6"/>
        <v>9.51</v>
      </c>
      <c r="N438" t="s">
        <v>6200</v>
      </c>
      <c r="O438" t="str" cm="1">
        <f t="array" ref="O438">_xlfn.IFS(J438="M","Medium", J438="L","Light", J438="D","Dark")</f>
        <v>Light</v>
      </c>
      <c r="P438" t="str">
        <f>_xlfn.XLOOKUP(orders!$C$2:$C$1001,customers!$A$2:$A$1001,customers!$I$2:$I$1001,,0)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IF(_xlfn.XLOOKUP(C439,customers!$A:$A,customers!$C:$C,,0)=0,"",_xlfn.XLOOKUP(C439,customers!$A:$A,customers!$C:$C,,0))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6"/>
        <v>29.784999999999997</v>
      </c>
      <c r="N439" t="s">
        <v>6200</v>
      </c>
      <c r="O439" t="str" cm="1">
        <f t="array" ref="O439">_xlfn.IFS(J439="M","Medium", J439="L","Light", J439="D","Dark")</f>
        <v>Dark</v>
      </c>
      <c r="P439" t="str">
        <f>_xlfn.XLOOKUP(orders!$C$2:$C$1001,customers!$A$2:$A$1001,customers!$I$2:$I$1001,,0)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IF(_xlfn.XLOOKUP(C440,customers!$A:$A,customers!$C:$C,,0)=0,"",_xlfn.XLOOKUP(C440,customers!$A:$A,customers!$C:$C,,0))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6"/>
        <v>15.54</v>
      </c>
      <c r="N440" t="s">
        <v>6200</v>
      </c>
      <c r="O440" t="str" cm="1">
        <f t="array" ref="O440">_xlfn.IFS(J440="M","Medium", J440="L","Light", J440="D","Dark")</f>
        <v>Dark</v>
      </c>
      <c r="P440" t="str">
        <f>_xlfn.XLOOKUP(orders!$C$2:$C$1001,customers!$A$2:$A$1001,customers!$I$2:$I$1001,,0)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IF(_xlfn.XLOOKUP(C441,customers!$A:$A,customers!$C:$C,,0)=0,"",_xlfn.XLOOKUP(C441,customers!$A:$A,customers!$C:$C,,0))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6"/>
        <v>35.64</v>
      </c>
      <c r="N441" t="s">
        <v>6198</v>
      </c>
      <c r="O441" t="str" cm="1">
        <f t="array" ref="O441">_xlfn.IFS(J441="M","Medium", J441="L","Light", J441="D","Dark")</f>
        <v>Light</v>
      </c>
      <c r="P441" t="str">
        <f>_xlfn.XLOOKUP(orders!$C$2:$C$1001,customers!$A$2:$A$1001,customers!$I$2:$I$1001,,0)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IF(_xlfn.XLOOKUP(C442,customers!$A:$A,customers!$C:$C,,0)=0,"",_xlfn.XLOOKUP(C442,customers!$A:$A,customers!$C:$C,,0))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6"/>
        <v>103.49999999999999</v>
      </c>
      <c r="N442" t="s">
        <v>6199</v>
      </c>
      <c r="O442" t="str" cm="1">
        <f t="array" ref="O442">_xlfn.IFS(J442="M","Medium", J442="L","Light", J442="D","Dark")</f>
        <v>Medium</v>
      </c>
      <c r="P442" t="str">
        <f>_xlfn.XLOOKUP(orders!$C$2:$C$1001,customers!$A$2:$A$1001,customers!$I$2:$I$1001,,0)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IF(_xlfn.XLOOKUP(C443,customers!$A:$A,customers!$C:$C,,0)=0,"",_xlfn.XLOOKUP(C443,customers!$A:$A,customers!$C:$C,,0))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6"/>
        <v>36.450000000000003</v>
      </c>
      <c r="N443" t="s">
        <v>6198</v>
      </c>
      <c r="O443" t="str" cm="1">
        <f t="array" ref="O443">_xlfn.IFS(J443="M","Medium", J443="L","Light", J443="D","Dark")</f>
        <v>Dark</v>
      </c>
      <c r="P443" t="str">
        <f>_xlfn.XLOOKUP(orders!$C$2:$C$1001,customers!$A$2:$A$1001,customers!$I$2:$I$1001,,0)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IF(_xlfn.XLOOKUP(C444,customers!$A:$A,customers!$C:$C,,0)=0,"",_xlfn.XLOOKUP(C444,customers!$A:$A,customers!$C:$C,,0))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6"/>
        <v>35.849999999999994</v>
      </c>
      <c r="N444" t="s">
        <v>6197</v>
      </c>
      <c r="O444" t="str" cm="1">
        <f t="array" ref="O444">_xlfn.IFS(J444="M","Medium", J444="L","Light", J444="D","Dark")</f>
        <v>Light</v>
      </c>
      <c r="P444" t="str">
        <f>_xlfn.XLOOKUP(orders!$C$2:$C$1001,customers!$A$2:$A$1001,customers!$I$2:$I$1001,,0)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IF(_xlfn.XLOOKUP(C445,customers!$A:$A,customers!$C:$C,,0)=0,"",_xlfn.XLOOKUP(C445,customers!$A:$A,customers!$C:$C,,0))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6"/>
        <v>22.274999999999999</v>
      </c>
      <c r="N445" t="s">
        <v>6198</v>
      </c>
      <c r="O445" t="str" cm="1">
        <f t="array" ref="O445">_xlfn.IFS(J445="M","Medium", J445="L","Light", J445="D","Dark")</f>
        <v>Light</v>
      </c>
      <c r="P445" t="str">
        <f>_xlfn.XLOOKUP(orders!$C$2:$C$1001,customers!$A$2:$A$1001,customers!$I$2:$I$1001,,0)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IF(_xlfn.XLOOKUP(C446,customers!$A:$A,customers!$C:$C,,0)=0,"",_xlfn.XLOOKUP(C446,customers!$A:$A,customers!$C:$C,,0))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6"/>
        <v>24.75</v>
      </c>
      <c r="N446" t="s">
        <v>6198</v>
      </c>
      <c r="O446" t="str" cm="1">
        <f t="array" ref="O446">_xlfn.IFS(J446="M","Medium", J446="L","Light", J446="D","Dark")</f>
        <v>Medium</v>
      </c>
      <c r="P446" t="str">
        <f>_xlfn.XLOOKUP(orders!$C$2:$C$1001,customers!$A$2:$A$1001,customers!$I$2:$I$1001,,0)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IF(_xlfn.XLOOKUP(C447,customers!$A:$A,customers!$C:$C,,0)=0,"",_xlfn.XLOOKUP(C447,customers!$A:$A,customers!$C:$C,,0))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6"/>
        <v>66.929999999999993</v>
      </c>
      <c r="N447" t="s">
        <v>6200</v>
      </c>
      <c r="O447" t="str" cm="1">
        <f t="array" ref="O447">_xlfn.IFS(J447="M","Medium", J447="L","Light", J447="D","Dark")</f>
        <v>Medium</v>
      </c>
      <c r="P447" t="str">
        <f>_xlfn.XLOOKUP(orders!$C$2:$C$1001,customers!$A$2:$A$1001,customers!$I$2:$I$1001,,0)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IF(_xlfn.XLOOKUP(C448,customers!$A:$A,customers!$C:$C,,0)=0,"",_xlfn.XLOOKUP(C448,customers!$A:$A,customers!$C:$C,,0))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6"/>
        <v>8.73</v>
      </c>
      <c r="N448" t="s">
        <v>6200</v>
      </c>
      <c r="O448" t="str" cm="1">
        <f t="array" ref="O448">_xlfn.IFS(J448="M","Medium", J448="L","Light", J448="D","Dark")</f>
        <v>Medium</v>
      </c>
      <c r="P448" t="str">
        <f>_xlfn.XLOOKUP(orders!$C$2:$C$1001,customers!$A$2:$A$1001,customers!$I$2:$I$1001,,0)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IF(_xlfn.XLOOKUP(C449,customers!$A:$A,customers!$C:$C,,0)=0,"",_xlfn.XLOOKUP(C449,customers!$A:$A,customers!$C:$C,,0))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6"/>
        <v>17.91</v>
      </c>
      <c r="N449" t="s">
        <v>6197</v>
      </c>
      <c r="O449" t="str" cm="1">
        <f t="array" ref="O449">_xlfn.IFS(J449="M","Medium", J449="L","Light", J449="D","Dark")</f>
        <v>Medium</v>
      </c>
      <c r="P449" t="str">
        <f>_xlfn.XLOOKUP(orders!$C$2:$C$1001,customers!$A$2:$A$1001,customers!$I$2:$I$1001,,0)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IF(_xlfn.XLOOKUP(C450,customers!$A:$A,customers!$C:$C,,0)=0,"",_xlfn.XLOOKUP(C450,customers!$A:$A,customers!$C:$C,,0))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6"/>
        <v>7.169999999999999</v>
      </c>
      <c r="N450" t="s">
        <v>6197</v>
      </c>
      <c r="O450" t="str" cm="1">
        <f t="array" ref="O450">_xlfn.IFS(J450="M","Medium", J450="L","Light", J450="D","Dark")</f>
        <v>Light</v>
      </c>
      <c r="P450" t="str">
        <f>_xlfn.XLOOKUP(orders!$C$2:$C$1001,customers!$A$2:$A$1001,customers!$I$2:$I$1001,,0)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IF(_xlfn.XLOOKUP(C451,customers!$A:$A,customers!$C:$C,,0)=0,"",_xlfn.XLOOKUP(C451,customers!$A:$A,customers!$C:$C,,0))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7">L451*E451</f>
        <v>5.3699999999999992</v>
      </c>
      <c r="N451" t="s">
        <v>6197</v>
      </c>
      <c r="O451" t="str" cm="1">
        <f t="array" ref="O451">_xlfn.IFS(J451="M","Medium", J451="L","Light", J451="D","Dark")</f>
        <v>Dark</v>
      </c>
      <c r="P451" t="str">
        <f>_xlfn.XLOOKUP(orders!$C$2:$C$1001,customers!$A$2:$A$1001,customers!$I$2:$I$1001,,0)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IF(_xlfn.XLOOKUP(C452,customers!$A:$A,customers!$C:$C,,0)=0,"",_xlfn.XLOOKUP(C452,customers!$A:$A,customers!$C:$C,,0))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7"/>
        <v>23.774999999999999</v>
      </c>
      <c r="N452" t="s">
        <v>6200</v>
      </c>
      <c r="O452" t="str" cm="1">
        <f t="array" ref="O452">_xlfn.IFS(J452="M","Medium", J452="L","Light", J452="D","Dark")</f>
        <v>Light</v>
      </c>
      <c r="P452" t="str">
        <f>_xlfn.XLOOKUP(orders!$C$2:$C$1001,customers!$A$2:$A$1001,customers!$I$2:$I$1001,,0)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IF(_xlfn.XLOOKUP(C453,customers!$A:$A,customers!$C:$C,,0)=0,"",_xlfn.XLOOKUP(C453,customers!$A:$A,customers!$C:$C,,0))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7"/>
        <v>41.169999999999995</v>
      </c>
      <c r="N453" t="s">
        <v>6197</v>
      </c>
      <c r="O453" t="str" cm="1">
        <f t="array" ref="O453">_xlfn.IFS(J453="M","Medium", J453="L","Light", J453="D","Dark")</f>
        <v>Dark</v>
      </c>
      <c r="P453" t="str">
        <f>_xlfn.XLOOKUP(orders!$C$2:$C$1001,customers!$A$2:$A$1001,customers!$I$2:$I$1001,,0)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IF(_xlfn.XLOOKUP(C454,customers!$A:$A,customers!$C:$C,,0)=0,"",_xlfn.XLOOKUP(C454,customers!$A:$A,customers!$C:$C,,0))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7"/>
        <v>11.654999999999999</v>
      </c>
      <c r="N454" t="s">
        <v>6199</v>
      </c>
      <c r="O454" t="str" cm="1">
        <f t="array" ref="O454">_xlfn.IFS(J454="M","Medium", J454="L","Light", J454="D","Dark")</f>
        <v>Light</v>
      </c>
      <c r="P454" t="str">
        <f>_xlfn.XLOOKUP(orders!$C$2:$C$1001,customers!$A$2:$A$1001,customers!$I$2:$I$1001,,0)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IF(_xlfn.XLOOKUP(C455,customers!$A:$A,customers!$C:$C,,0)=0,"",_xlfn.XLOOKUP(C455,customers!$A:$A,customers!$C:$C,,0))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7"/>
        <v>38.04</v>
      </c>
      <c r="N455" t="s">
        <v>6200</v>
      </c>
      <c r="O455" t="str" cm="1">
        <f t="array" ref="O455">_xlfn.IFS(J455="M","Medium", J455="L","Light", J455="D","Dark")</f>
        <v>Light</v>
      </c>
      <c r="P455" t="str">
        <f>_xlfn.XLOOKUP(orders!$C$2:$C$1001,customers!$A$2:$A$1001,customers!$I$2:$I$1001,,0)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IF(_xlfn.XLOOKUP(C456,customers!$A:$A,customers!$C:$C,,0)=0,"",_xlfn.XLOOKUP(C456,customers!$A:$A,customers!$C:$C,,0))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7"/>
        <v>82.339999999999989</v>
      </c>
      <c r="N456" t="s">
        <v>6197</v>
      </c>
      <c r="O456" t="str" cm="1">
        <f t="array" ref="O456">_xlfn.IFS(J456="M","Medium", J456="L","Light", J456="D","Dark")</f>
        <v>Dark</v>
      </c>
      <c r="P456" t="str">
        <f>_xlfn.XLOOKUP(orders!$C$2:$C$1001,customers!$A$2:$A$1001,customers!$I$2:$I$1001,,0)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IF(_xlfn.XLOOKUP(C457,customers!$A:$A,customers!$C:$C,,0)=0,"",_xlfn.XLOOKUP(C457,customers!$A:$A,customers!$C:$C,,0))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7"/>
        <v>9.51</v>
      </c>
      <c r="N457" t="s">
        <v>6200</v>
      </c>
      <c r="O457" t="str" cm="1">
        <f t="array" ref="O457">_xlfn.IFS(J457="M","Medium", J457="L","Light", J457="D","Dark")</f>
        <v>Light</v>
      </c>
      <c r="P457" t="str">
        <f>_xlfn.XLOOKUP(orders!$C$2:$C$1001,customers!$A$2:$A$1001,customers!$I$2:$I$1001,,0)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IF(_xlfn.XLOOKUP(C458,customers!$A:$A,customers!$C:$C,,0)=0,"",_xlfn.XLOOKUP(C458,customers!$A:$A,customers!$C:$C,,0))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7"/>
        <v>41.169999999999995</v>
      </c>
      <c r="N458" t="s">
        <v>6197</v>
      </c>
      <c r="O458" t="str" cm="1">
        <f t="array" ref="O458">_xlfn.IFS(J458="M","Medium", J458="L","Light", J458="D","Dark")</f>
        <v>Dark</v>
      </c>
      <c r="P458" t="str">
        <f>_xlfn.XLOOKUP(orders!$C$2:$C$1001,customers!$A$2:$A$1001,customers!$I$2:$I$1001,,0)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IF(_xlfn.XLOOKUP(C459,customers!$A:$A,customers!$C:$C,,0)=0,"",_xlfn.XLOOKUP(C459,customers!$A:$A,customers!$C:$C,,0))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7"/>
        <v>47.55</v>
      </c>
      <c r="N459" t="s">
        <v>6200</v>
      </c>
      <c r="O459" t="str" cm="1">
        <f t="array" ref="O459">_xlfn.IFS(J459="M","Medium", J459="L","Light", J459="D","Dark")</f>
        <v>Light</v>
      </c>
      <c r="P459" t="str">
        <f>_xlfn.XLOOKUP(orders!$C$2:$C$1001,customers!$A$2:$A$1001,customers!$I$2:$I$1001,,0)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IF(_xlfn.XLOOKUP(C460,customers!$A:$A,customers!$C:$C,,0)=0,"",_xlfn.XLOOKUP(C460,customers!$A:$A,customers!$C:$C,,0))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7"/>
        <v>45</v>
      </c>
      <c r="N460" t="s">
        <v>6199</v>
      </c>
      <c r="O460" t="str" cm="1">
        <f t="array" ref="O460">_xlfn.IFS(J460="M","Medium", J460="L","Light", J460="D","Dark")</f>
        <v>Medium</v>
      </c>
      <c r="P460" t="str">
        <f>_xlfn.XLOOKUP(orders!$C$2:$C$1001,customers!$A$2:$A$1001,customers!$I$2:$I$1001,,0)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IF(_xlfn.XLOOKUP(C461,customers!$A:$A,customers!$C:$C,,0)=0,"",_xlfn.XLOOKUP(C461,customers!$A:$A,customers!$C:$C,,0))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7"/>
        <v>23.774999999999999</v>
      </c>
      <c r="N461" t="s">
        <v>6200</v>
      </c>
      <c r="O461" t="str" cm="1">
        <f t="array" ref="O461">_xlfn.IFS(J461="M","Medium", J461="L","Light", J461="D","Dark")</f>
        <v>Light</v>
      </c>
      <c r="P461" t="str">
        <f>_xlfn.XLOOKUP(orders!$C$2:$C$1001,customers!$A$2:$A$1001,customers!$I$2:$I$1001,,0)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IF(_xlfn.XLOOKUP(C462,customers!$A:$A,customers!$C:$C,,0)=0,"",_xlfn.XLOOKUP(C462,customers!$A:$A,customers!$C:$C,,0))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7"/>
        <v>16.11</v>
      </c>
      <c r="N462" t="s">
        <v>6197</v>
      </c>
      <c r="O462" t="str" cm="1">
        <f t="array" ref="O462">_xlfn.IFS(J462="M","Medium", J462="L","Light", J462="D","Dark")</f>
        <v>Dark</v>
      </c>
      <c r="P462" t="str">
        <f>_xlfn.XLOOKUP(orders!$C$2:$C$1001,customers!$A$2:$A$1001,customers!$I$2:$I$1001,,0)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IF(_xlfn.XLOOKUP(C463,customers!$A:$A,customers!$C:$C,,0)=0,"",_xlfn.XLOOKUP(C463,customers!$A:$A,customers!$C:$C,,0))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7"/>
        <v>10.739999999999998</v>
      </c>
      <c r="N463" t="s">
        <v>6197</v>
      </c>
      <c r="O463" t="str" cm="1">
        <f t="array" ref="O463">_xlfn.IFS(J463="M","Medium", J463="L","Light", J463="D","Dark")</f>
        <v>Dark</v>
      </c>
      <c r="P463" t="str">
        <f>_xlfn.XLOOKUP(orders!$C$2:$C$1001,customers!$A$2:$A$1001,customers!$I$2:$I$1001,,0)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IF(_xlfn.XLOOKUP(C464,customers!$A:$A,customers!$C:$C,,0)=0,"",_xlfn.XLOOKUP(C464,customers!$A:$A,customers!$C:$C,,0))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7"/>
        <v>49.75</v>
      </c>
      <c r="N464" t="s">
        <v>6199</v>
      </c>
      <c r="O464" t="str" cm="1">
        <f t="array" ref="O464">_xlfn.IFS(J464="M","Medium", J464="L","Light", J464="D","Dark")</f>
        <v>Dark</v>
      </c>
      <c r="P464" t="str">
        <f>_xlfn.XLOOKUP(orders!$C$2:$C$1001,customers!$A$2:$A$1001,customers!$I$2:$I$1001,,0)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IF(_xlfn.XLOOKUP(C465,customers!$A:$A,customers!$C:$C,,0)=0,"",_xlfn.XLOOKUP(C465,customers!$A:$A,customers!$C:$C,,0))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7"/>
        <v>27.5</v>
      </c>
      <c r="N465" t="s">
        <v>6198</v>
      </c>
      <c r="O465" t="str" cm="1">
        <f t="array" ref="O465">_xlfn.IFS(J465="M","Medium", J465="L","Light", J465="D","Dark")</f>
        <v>Medium</v>
      </c>
      <c r="P465" t="str">
        <f>_xlfn.XLOOKUP(orders!$C$2:$C$1001,customers!$A$2:$A$1001,customers!$I$2:$I$1001,,0)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IF(_xlfn.XLOOKUP(C466,customers!$A:$A,customers!$C:$C,,0)=0,"",_xlfn.XLOOKUP(C466,customers!$A:$A,customers!$C:$C,,0))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7"/>
        <v>119.13999999999999</v>
      </c>
      <c r="N466" t="s">
        <v>6200</v>
      </c>
      <c r="O466" t="str" cm="1">
        <f t="array" ref="O466">_xlfn.IFS(J466="M","Medium", J466="L","Light", J466="D","Dark")</f>
        <v>Dark</v>
      </c>
      <c r="P466" t="str">
        <f>_xlfn.XLOOKUP(orders!$C$2:$C$1001,customers!$A$2:$A$1001,customers!$I$2:$I$1001,,0)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IF(_xlfn.XLOOKUP(C467,customers!$A:$A,customers!$C:$C,,0)=0,"",_xlfn.XLOOKUP(C467,customers!$A:$A,customers!$C:$C,,0))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7"/>
        <v>20.584999999999997</v>
      </c>
      <c r="N467" t="s">
        <v>6197</v>
      </c>
      <c r="O467" t="str" cm="1">
        <f t="array" ref="O467">_xlfn.IFS(J467="M","Medium", J467="L","Light", J467="D","Dark")</f>
        <v>Dark</v>
      </c>
      <c r="P467" t="str">
        <f>_xlfn.XLOOKUP(orders!$C$2:$C$1001,customers!$A$2:$A$1001,customers!$I$2:$I$1001,,0)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IF(_xlfn.XLOOKUP(C468,customers!$A:$A,customers!$C:$C,,0)=0,"",_xlfn.XLOOKUP(C468,customers!$A:$A,customers!$C:$C,,0))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7"/>
        <v>8.9550000000000001</v>
      </c>
      <c r="N468" t="s">
        <v>6199</v>
      </c>
      <c r="O468" t="str" cm="1">
        <f t="array" ref="O468">_xlfn.IFS(J468="M","Medium", J468="L","Light", J468="D","Dark")</f>
        <v>Dark</v>
      </c>
      <c r="P468" t="str">
        <f>_xlfn.XLOOKUP(orders!$C$2:$C$1001,customers!$A$2:$A$1001,customers!$I$2:$I$1001,,0)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IF(_xlfn.XLOOKUP(C469,customers!$A:$A,customers!$C:$C,,0)=0,"",_xlfn.XLOOKUP(C469,customers!$A:$A,customers!$C:$C,,0))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7"/>
        <v>5.97</v>
      </c>
      <c r="N469" t="s">
        <v>6199</v>
      </c>
      <c r="O469" t="str" cm="1">
        <f t="array" ref="O469">_xlfn.IFS(J469="M","Medium", J469="L","Light", J469="D","Dark")</f>
        <v>Dark</v>
      </c>
      <c r="P469" t="str">
        <f>_xlfn.XLOOKUP(orders!$C$2:$C$1001,customers!$A$2:$A$1001,customers!$I$2:$I$1001,,0)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IF(_xlfn.XLOOKUP(C470,customers!$A:$A,customers!$C:$C,,0)=0,"",_xlfn.XLOOKUP(C470,customers!$A:$A,customers!$C:$C,,0))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7"/>
        <v>41.25</v>
      </c>
      <c r="N470" t="s">
        <v>6198</v>
      </c>
      <c r="O470" t="str" cm="1">
        <f t="array" ref="O470">_xlfn.IFS(J470="M","Medium", J470="L","Light", J470="D","Dark")</f>
        <v>Medium</v>
      </c>
      <c r="P470" t="str">
        <f>_xlfn.XLOOKUP(orders!$C$2:$C$1001,customers!$A$2:$A$1001,customers!$I$2:$I$1001,,0)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IF(_xlfn.XLOOKUP(C471,customers!$A:$A,customers!$C:$C,,0)=0,"",_xlfn.XLOOKUP(C471,customers!$A:$A,customers!$C:$C,,0))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7"/>
        <v>22.274999999999999</v>
      </c>
      <c r="N471" t="s">
        <v>6198</v>
      </c>
      <c r="O471" t="str" cm="1">
        <f t="array" ref="O471">_xlfn.IFS(J471="M","Medium", J471="L","Light", J471="D","Dark")</f>
        <v>Light</v>
      </c>
      <c r="P471" t="str">
        <f>_xlfn.XLOOKUP(orders!$C$2:$C$1001,customers!$A$2:$A$1001,customers!$I$2:$I$1001,,0)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IF(_xlfn.XLOOKUP(C472,customers!$A:$A,customers!$C:$C,,0)=0,"",_xlfn.XLOOKUP(C472,customers!$A:$A,customers!$C:$C,,0))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7"/>
        <v>6.75</v>
      </c>
      <c r="N472" t="s">
        <v>6199</v>
      </c>
      <c r="O472" t="str" cm="1">
        <f t="array" ref="O472">_xlfn.IFS(J472="M","Medium", J472="L","Light", J472="D","Dark")</f>
        <v>Medium</v>
      </c>
      <c r="P472" t="str">
        <f>_xlfn.XLOOKUP(orders!$C$2:$C$1001,customers!$A$2:$A$1001,customers!$I$2:$I$1001,,0)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IF(_xlfn.XLOOKUP(C473,customers!$A:$A,customers!$C:$C,,0)=0,"",_xlfn.XLOOKUP(C473,customers!$A:$A,customers!$C:$C,,0))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7"/>
        <v>133.85999999999999</v>
      </c>
      <c r="N473" t="s">
        <v>6200</v>
      </c>
      <c r="O473" t="str" cm="1">
        <f t="array" ref="O473">_xlfn.IFS(J473="M","Medium", J473="L","Light", J473="D","Dark")</f>
        <v>Medium</v>
      </c>
      <c r="P473" t="str">
        <f>_xlfn.XLOOKUP(orders!$C$2:$C$1001,customers!$A$2:$A$1001,customers!$I$2:$I$1001,,0)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IF(_xlfn.XLOOKUP(C474,customers!$A:$A,customers!$C:$C,,0)=0,"",_xlfn.XLOOKUP(C474,customers!$A:$A,customers!$C:$C,,0))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7"/>
        <v>5.97</v>
      </c>
      <c r="N474" t="s">
        <v>6199</v>
      </c>
      <c r="O474" t="str" cm="1">
        <f t="array" ref="O474">_xlfn.IFS(J474="M","Medium", J474="L","Light", J474="D","Dark")</f>
        <v>Dark</v>
      </c>
      <c r="P474" t="str">
        <f>_xlfn.XLOOKUP(orders!$C$2:$C$1001,customers!$A$2:$A$1001,customers!$I$2:$I$1001,,0)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IF(_xlfn.XLOOKUP(C475,customers!$A:$A,customers!$C:$C,,0)=0,"",_xlfn.XLOOKUP(C475,customers!$A:$A,customers!$C:$C,,0))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7"/>
        <v>25.9</v>
      </c>
      <c r="N475" t="s">
        <v>6199</v>
      </c>
      <c r="O475" t="str" cm="1">
        <f t="array" ref="O475">_xlfn.IFS(J475="M","Medium", J475="L","Light", J475="D","Dark")</f>
        <v>Light</v>
      </c>
      <c r="P475" t="str">
        <f>_xlfn.XLOOKUP(orders!$C$2:$C$1001,customers!$A$2:$A$1001,customers!$I$2:$I$1001,,0)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IF(_xlfn.XLOOKUP(C476,customers!$A:$A,customers!$C:$C,,0)=0,"",_xlfn.XLOOKUP(C476,customers!$A:$A,customers!$C:$C,,0))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7"/>
        <v>31.624999999999996</v>
      </c>
      <c r="N476" t="s">
        <v>6198</v>
      </c>
      <c r="O476" t="str" cm="1">
        <f t="array" ref="O476">_xlfn.IFS(J476="M","Medium", J476="L","Light", J476="D","Dark")</f>
        <v>Medium</v>
      </c>
      <c r="P476" t="str">
        <f>_xlfn.XLOOKUP(orders!$C$2:$C$1001,customers!$A$2:$A$1001,customers!$I$2:$I$1001,,0)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IF(_xlfn.XLOOKUP(C477,customers!$A:$A,customers!$C:$C,,0)=0,"",_xlfn.XLOOKUP(C477,customers!$A:$A,customers!$C:$C,,0))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7"/>
        <v>8.73</v>
      </c>
      <c r="N477" t="s">
        <v>6200</v>
      </c>
      <c r="O477" t="str" cm="1">
        <f t="array" ref="O477">_xlfn.IFS(J477="M","Medium", J477="L","Light", J477="D","Dark")</f>
        <v>Medium</v>
      </c>
      <c r="P477" t="str">
        <f>_xlfn.XLOOKUP(orders!$C$2:$C$1001,customers!$A$2:$A$1001,customers!$I$2:$I$1001,,0)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IF(_xlfn.XLOOKUP(C478,customers!$A:$A,customers!$C:$C,,0)=0,"",_xlfn.XLOOKUP(C478,customers!$A:$A,customers!$C:$C,,0))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7"/>
        <v>26.73</v>
      </c>
      <c r="N478" t="s">
        <v>6198</v>
      </c>
      <c r="O478" t="str" cm="1">
        <f t="array" ref="O478">_xlfn.IFS(J478="M","Medium", J478="L","Light", J478="D","Dark")</f>
        <v>Light</v>
      </c>
      <c r="P478" t="str">
        <f>_xlfn.XLOOKUP(orders!$C$2:$C$1001,customers!$A$2:$A$1001,customers!$I$2:$I$1001,,0)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IF(_xlfn.XLOOKUP(C479,customers!$A:$A,customers!$C:$C,,0)=0,"",_xlfn.XLOOKUP(C479,customers!$A:$A,customers!$C:$C,,0))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7"/>
        <v>26.19</v>
      </c>
      <c r="N479" t="s">
        <v>6200</v>
      </c>
      <c r="O479" t="str" cm="1">
        <f t="array" ref="O479">_xlfn.IFS(J479="M","Medium", J479="L","Light", J479="D","Dark")</f>
        <v>Medium</v>
      </c>
      <c r="P479" t="str">
        <f>_xlfn.XLOOKUP(orders!$C$2:$C$1001,customers!$A$2:$A$1001,customers!$I$2:$I$1001,,0)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IF(_xlfn.XLOOKUP(C480,customers!$A:$A,customers!$C:$C,,0)=0,"",_xlfn.XLOOKUP(C480,customers!$A:$A,customers!$C:$C,,0))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7"/>
        <v>53.699999999999996</v>
      </c>
      <c r="N480" t="s">
        <v>6197</v>
      </c>
      <c r="O480" t="str" cm="1">
        <f t="array" ref="O480">_xlfn.IFS(J480="M","Medium", J480="L","Light", J480="D","Dark")</f>
        <v>Dark</v>
      </c>
      <c r="P480" t="str">
        <f>_xlfn.XLOOKUP(orders!$C$2:$C$1001,customers!$A$2:$A$1001,customers!$I$2:$I$1001,,0)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IF(_xlfn.XLOOKUP(C481,customers!$A:$A,customers!$C:$C,,0)=0,"",_xlfn.XLOOKUP(C481,customers!$A:$A,customers!$C:$C,,0))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7"/>
        <v>126.49999999999999</v>
      </c>
      <c r="N481" t="s">
        <v>6198</v>
      </c>
      <c r="O481" t="str" cm="1">
        <f t="array" ref="O481">_xlfn.IFS(J481="M","Medium", J481="L","Light", J481="D","Dark")</f>
        <v>Medium</v>
      </c>
      <c r="P481" t="str">
        <f>_xlfn.XLOOKUP(orders!$C$2:$C$1001,customers!$A$2:$A$1001,customers!$I$2:$I$1001,,0)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IF(_xlfn.XLOOKUP(C482,customers!$A:$A,customers!$C:$C,,0)=0,"",_xlfn.XLOOKUP(C482,customers!$A:$A,customers!$C:$C,,0))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7"/>
        <v>4.125</v>
      </c>
      <c r="N482" t="s">
        <v>6198</v>
      </c>
      <c r="O482" t="str" cm="1">
        <f t="array" ref="O482">_xlfn.IFS(J482="M","Medium", J482="L","Light", J482="D","Dark")</f>
        <v>Medium</v>
      </c>
      <c r="P482" t="str">
        <f>_xlfn.XLOOKUP(orders!$C$2:$C$1001,customers!$A$2:$A$1001,customers!$I$2:$I$1001,,0)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IF(_xlfn.XLOOKUP(C483,customers!$A:$A,customers!$C:$C,,0)=0,"",_xlfn.XLOOKUP(C483,customers!$A:$A,customers!$C:$C,,0))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7"/>
        <v>23.9</v>
      </c>
      <c r="N483" t="s">
        <v>6197</v>
      </c>
      <c r="O483" t="str" cm="1">
        <f t="array" ref="O483">_xlfn.IFS(J483="M","Medium", J483="L","Light", J483="D","Dark")</f>
        <v>Light</v>
      </c>
      <c r="P483" t="str">
        <f>_xlfn.XLOOKUP(orders!$C$2:$C$1001,customers!$A$2:$A$1001,customers!$I$2:$I$1001,,0)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IF(_xlfn.XLOOKUP(C484,customers!$A:$A,customers!$C:$C,,0)=0,"",_xlfn.XLOOKUP(C484,customers!$A:$A,customers!$C:$C,,0))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7"/>
        <v>139.72499999999999</v>
      </c>
      <c r="N484" t="s">
        <v>6198</v>
      </c>
      <c r="O484" t="str" cm="1">
        <f t="array" ref="O484">_xlfn.IFS(J484="M","Medium", J484="L","Light", J484="D","Dark")</f>
        <v>Dark</v>
      </c>
      <c r="P484" t="str">
        <f>_xlfn.XLOOKUP(orders!$C$2:$C$1001,customers!$A$2:$A$1001,customers!$I$2:$I$1001,,0)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IF(_xlfn.XLOOKUP(C485,customers!$A:$A,customers!$C:$C,,0)=0,"",_xlfn.XLOOKUP(C485,customers!$A:$A,customers!$C:$C,,0))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7"/>
        <v>59.569999999999993</v>
      </c>
      <c r="N485" t="s">
        <v>6200</v>
      </c>
      <c r="O485" t="str" cm="1">
        <f t="array" ref="O485">_xlfn.IFS(J485="M","Medium", J485="L","Light", J485="D","Dark")</f>
        <v>Dark</v>
      </c>
      <c r="P485" t="str">
        <f>_xlfn.XLOOKUP(orders!$C$2:$C$1001,customers!$A$2:$A$1001,customers!$I$2:$I$1001,,0)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IF(_xlfn.XLOOKUP(C486,customers!$A:$A,customers!$C:$C,,0)=0,"",_xlfn.XLOOKUP(C486,customers!$A:$A,customers!$C:$C,,0))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7"/>
        <v>57.06</v>
      </c>
      <c r="N486" t="s">
        <v>6200</v>
      </c>
      <c r="O486" t="str" cm="1">
        <f t="array" ref="O486">_xlfn.IFS(J486="M","Medium", J486="L","Light", J486="D","Dark")</f>
        <v>Light</v>
      </c>
      <c r="P486" t="str">
        <f>_xlfn.XLOOKUP(orders!$C$2:$C$1001,customers!$A$2:$A$1001,customers!$I$2:$I$1001,,0)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IF(_xlfn.XLOOKUP(C487,customers!$A:$A,customers!$C:$C,,0)=0,"",_xlfn.XLOOKUP(C487,customers!$A:$A,customers!$C:$C,,0))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7"/>
        <v>21.509999999999998</v>
      </c>
      <c r="N487" t="s">
        <v>6197</v>
      </c>
      <c r="O487" t="str" cm="1">
        <f t="array" ref="O487">_xlfn.IFS(J487="M","Medium", J487="L","Light", J487="D","Dark")</f>
        <v>Light</v>
      </c>
      <c r="P487" t="str">
        <f>_xlfn.XLOOKUP(orders!$C$2:$C$1001,customers!$A$2:$A$1001,customers!$I$2:$I$1001,,0)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IF(_xlfn.XLOOKUP(C488,customers!$A:$A,customers!$C:$C,,0)=0,"",_xlfn.XLOOKUP(C488,customers!$A:$A,customers!$C:$C,,0))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7"/>
        <v>52.38</v>
      </c>
      <c r="N488" t="s">
        <v>6200</v>
      </c>
      <c r="O488" t="str" cm="1">
        <f t="array" ref="O488">_xlfn.IFS(J488="M","Medium", J488="L","Light", J488="D","Dark")</f>
        <v>Medium</v>
      </c>
      <c r="P488" t="str">
        <f>_xlfn.XLOOKUP(orders!$C$2:$C$1001,customers!$A$2:$A$1001,customers!$I$2:$I$1001,,0)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IF(_xlfn.XLOOKUP(C489,customers!$A:$A,customers!$C:$C,,0)=0,"",_xlfn.XLOOKUP(C489,customers!$A:$A,customers!$C:$C,,0))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7"/>
        <v>72.900000000000006</v>
      </c>
      <c r="N489" t="s">
        <v>6198</v>
      </c>
      <c r="O489" t="str" cm="1">
        <f t="array" ref="O489">_xlfn.IFS(J489="M","Medium", J489="L","Light", J489="D","Dark")</f>
        <v>Dark</v>
      </c>
      <c r="P489" t="str">
        <f>_xlfn.XLOOKUP(orders!$C$2:$C$1001,customers!$A$2:$A$1001,customers!$I$2:$I$1001,,0)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IF(_xlfn.XLOOKUP(C490,customers!$A:$A,customers!$C:$C,,0)=0,"",_xlfn.XLOOKUP(C490,customers!$A:$A,customers!$C:$C,,0))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7"/>
        <v>14.924999999999999</v>
      </c>
      <c r="N490" t="s">
        <v>6197</v>
      </c>
      <c r="O490" t="str" cm="1">
        <f t="array" ref="O490">_xlfn.IFS(J490="M","Medium", J490="L","Light", J490="D","Dark")</f>
        <v>Medium</v>
      </c>
      <c r="P490" t="str">
        <f>_xlfn.XLOOKUP(orders!$C$2:$C$1001,customers!$A$2:$A$1001,customers!$I$2:$I$1001,,0)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IF(_xlfn.XLOOKUP(C491,customers!$A:$A,customers!$C:$C,,0)=0,"",_xlfn.XLOOKUP(C491,customers!$A:$A,customers!$C:$C,,0))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7"/>
        <v>95.1</v>
      </c>
      <c r="N491" t="s">
        <v>6200</v>
      </c>
      <c r="O491" t="str" cm="1">
        <f t="array" ref="O491">_xlfn.IFS(J491="M","Medium", J491="L","Light", J491="D","Dark")</f>
        <v>Light</v>
      </c>
      <c r="P491" t="str">
        <f>_xlfn.XLOOKUP(orders!$C$2:$C$1001,customers!$A$2:$A$1001,customers!$I$2:$I$1001,,0)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IF(_xlfn.XLOOKUP(C492,customers!$A:$A,customers!$C:$C,,0)=0,"",_xlfn.XLOOKUP(C492,customers!$A:$A,customers!$C:$C,,0))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7"/>
        <v>15.54</v>
      </c>
      <c r="N492" t="s">
        <v>6200</v>
      </c>
      <c r="O492" t="str" cm="1">
        <f t="array" ref="O492">_xlfn.IFS(J492="M","Medium", J492="L","Light", J492="D","Dark")</f>
        <v>Dark</v>
      </c>
      <c r="P492" t="str">
        <f>_xlfn.XLOOKUP(orders!$C$2:$C$1001,customers!$A$2:$A$1001,customers!$I$2:$I$1001,,0)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IF(_xlfn.XLOOKUP(C493,customers!$A:$A,customers!$C:$C,,0)=0,"",_xlfn.XLOOKUP(C493,customers!$A:$A,customers!$C:$C,,0))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7"/>
        <v>23.31</v>
      </c>
      <c r="N493" t="s">
        <v>6200</v>
      </c>
      <c r="O493" t="str" cm="1">
        <f t="array" ref="O493">_xlfn.IFS(J493="M","Medium", J493="L","Light", J493="D","Dark")</f>
        <v>Dark</v>
      </c>
      <c r="P493" t="str">
        <f>_xlfn.XLOOKUP(orders!$C$2:$C$1001,customers!$A$2:$A$1001,customers!$I$2:$I$1001,,0)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IF(_xlfn.XLOOKUP(C494,customers!$A:$A,customers!$C:$C,,0)=0,"",_xlfn.XLOOKUP(C494,customers!$A:$A,customers!$C:$C,,0))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7"/>
        <v>4.125</v>
      </c>
      <c r="N494" t="s">
        <v>6198</v>
      </c>
      <c r="O494" t="str" cm="1">
        <f t="array" ref="O494">_xlfn.IFS(J494="M","Medium", J494="L","Light", J494="D","Dark")</f>
        <v>Medium</v>
      </c>
      <c r="P494" t="str">
        <f>_xlfn.XLOOKUP(orders!$C$2:$C$1001,customers!$A$2:$A$1001,customers!$I$2:$I$1001,,0)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IF(_xlfn.XLOOKUP(C495,customers!$A:$A,customers!$C:$C,,0)=0,"",_xlfn.XLOOKUP(C495,customers!$A:$A,customers!$C:$C,,0))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7"/>
        <v>35.82</v>
      </c>
      <c r="N495" t="s">
        <v>6197</v>
      </c>
      <c r="O495" t="str" cm="1">
        <f t="array" ref="O495">_xlfn.IFS(J495="M","Medium", J495="L","Light", J495="D","Dark")</f>
        <v>Medium</v>
      </c>
      <c r="P495" t="str">
        <f>_xlfn.XLOOKUP(orders!$C$2:$C$1001,customers!$A$2:$A$1001,customers!$I$2:$I$1001,,0)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IF(_xlfn.XLOOKUP(C496,customers!$A:$A,customers!$C:$C,,0)=0,"",_xlfn.XLOOKUP(C496,customers!$A:$A,customers!$C:$C,,0))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7"/>
        <v>31.7</v>
      </c>
      <c r="N496" t="s">
        <v>6200</v>
      </c>
      <c r="O496" t="str" cm="1">
        <f t="array" ref="O496">_xlfn.IFS(J496="M","Medium", J496="L","Light", J496="D","Dark")</f>
        <v>Light</v>
      </c>
      <c r="P496" t="str">
        <f>_xlfn.XLOOKUP(orders!$C$2:$C$1001,customers!$A$2:$A$1001,customers!$I$2:$I$1001,,0)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IF(_xlfn.XLOOKUP(C497,customers!$A:$A,customers!$C:$C,,0)=0,"",_xlfn.XLOOKUP(C497,customers!$A:$A,customers!$C:$C,,0))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7"/>
        <v>79.25</v>
      </c>
      <c r="N497" t="s">
        <v>6200</v>
      </c>
      <c r="O497" t="str" cm="1">
        <f t="array" ref="O497">_xlfn.IFS(J497="M","Medium", J497="L","Light", J497="D","Dark")</f>
        <v>Light</v>
      </c>
      <c r="P497" t="str">
        <f>_xlfn.XLOOKUP(orders!$C$2:$C$1001,customers!$A$2:$A$1001,customers!$I$2:$I$1001,,0)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IF(_xlfn.XLOOKUP(C498,customers!$A:$A,customers!$C:$C,,0)=0,"",_xlfn.XLOOKUP(C498,customers!$A:$A,customers!$C:$C,,0))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7"/>
        <v>10.935</v>
      </c>
      <c r="N498" t="s">
        <v>6198</v>
      </c>
      <c r="O498" t="str" cm="1">
        <f t="array" ref="O498">_xlfn.IFS(J498="M","Medium", J498="L","Light", J498="D","Dark")</f>
        <v>Dark</v>
      </c>
      <c r="P498" t="str">
        <f>_xlfn.XLOOKUP(orders!$C$2:$C$1001,customers!$A$2:$A$1001,customers!$I$2:$I$1001,,0)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IF(_xlfn.XLOOKUP(C499,customers!$A:$A,customers!$C:$C,,0)=0,"",_xlfn.XLOOKUP(C499,customers!$A:$A,customers!$C:$C,,0))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7"/>
        <v>39.799999999999997</v>
      </c>
      <c r="N499" t="s">
        <v>6199</v>
      </c>
      <c r="O499" t="str" cm="1">
        <f t="array" ref="O499">_xlfn.IFS(J499="M","Medium", J499="L","Light", J499="D","Dark")</f>
        <v>Dark</v>
      </c>
      <c r="P499" t="str">
        <f>_xlfn.XLOOKUP(orders!$C$2:$C$1001,customers!$A$2:$A$1001,customers!$I$2:$I$1001,,0)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IF(_xlfn.XLOOKUP(C500,customers!$A:$A,customers!$C:$C,,0)=0,"",_xlfn.XLOOKUP(C500,customers!$A:$A,customers!$C:$C,,0))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7"/>
        <v>49.75</v>
      </c>
      <c r="N500" t="s">
        <v>6197</v>
      </c>
      <c r="O500" t="str" cm="1">
        <f t="array" ref="O500">_xlfn.IFS(J500="M","Medium", J500="L","Light", J500="D","Dark")</f>
        <v>Medium</v>
      </c>
      <c r="P500" t="str">
        <f>_xlfn.XLOOKUP(orders!$C$2:$C$1001,customers!$A$2:$A$1001,customers!$I$2:$I$1001,,0)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IF(_xlfn.XLOOKUP(C501,customers!$A:$A,customers!$C:$C,,0)=0,"",_xlfn.XLOOKUP(C501,customers!$A:$A,customers!$C:$C,,0))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7"/>
        <v>8.0549999999999997</v>
      </c>
      <c r="N501" t="s">
        <v>6197</v>
      </c>
      <c r="O501" t="str" cm="1">
        <f t="array" ref="O501">_xlfn.IFS(J501="M","Medium", J501="L","Light", J501="D","Dark")</f>
        <v>Dark</v>
      </c>
      <c r="P501" t="str">
        <f>_xlfn.XLOOKUP(orders!$C$2:$C$1001,customers!$A$2:$A$1001,customers!$I$2:$I$1001,,0)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IF(_xlfn.XLOOKUP(C502,customers!$A:$A,customers!$C:$C,,0)=0,"",_xlfn.XLOOKUP(C502,customers!$A:$A,customers!$C:$C,,0))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7"/>
        <v>47.8</v>
      </c>
      <c r="N502" t="s">
        <v>6197</v>
      </c>
      <c r="O502" t="str" cm="1">
        <f t="array" ref="O502">_xlfn.IFS(J502="M","Medium", J502="L","Light", J502="D","Dark")</f>
        <v>Light</v>
      </c>
      <c r="P502" t="str">
        <f>_xlfn.XLOOKUP(orders!$C$2:$C$1001,customers!$A$2:$A$1001,customers!$I$2:$I$1001,,0)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IF(_xlfn.XLOOKUP(C503,customers!$A:$A,customers!$C:$C,,0)=0,"",_xlfn.XLOOKUP(C503,customers!$A:$A,customers!$C:$C,,0))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7"/>
        <v>11.94</v>
      </c>
      <c r="N503" t="s">
        <v>6197</v>
      </c>
      <c r="O503" t="str" cm="1">
        <f t="array" ref="O503">_xlfn.IFS(J503="M","Medium", J503="L","Light", J503="D","Dark")</f>
        <v>Medium</v>
      </c>
      <c r="P503" t="str">
        <f>_xlfn.XLOOKUP(orders!$C$2:$C$1001,customers!$A$2:$A$1001,customers!$I$2:$I$1001,,0)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IF(_xlfn.XLOOKUP(C504,customers!$A:$A,customers!$C:$C,,0)=0,"",_xlfn.XLOOKUP(C504,customers!$A:$A,customers!$C:$C,,0))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7"/>
        <v>16.5</v>
      </c>
      <c r="N504" t="s">
        <v>6198</v>
      </c>
      <c r="O504" t="str" cm="1">
        <f t="array" ref="O504">_xlfn.IFS(J504="M","Medium", J504="L","Light", J504="D","Dark")</f>
        <v>Medium</v>
      </c>
      <c r="P504" t="str">
        <f>_xlfn.XLOOKUP(orders!$C$2:$C$1001,customers!$A$2:$A$1001,customers!$I$2:$I$1001,,0)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IF(_xlfn.XLOOKUP(C505,customers!$A:$A,customers!$C:$C,,0)=0,"",_xlfn.XLOOKUP(C505,customers!$A:$A,customers!$C:$C,,0))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7"/>
        <v>51.8</v>
      </c>
      <c r="N505" t="s">
        <v>6200</v>
      </c>
      <c r="O505" t="str" cm="1">
        <f t="array" ref="O505">_xlfn.IFS(J505="M","Medium", J505="L","Light", J505="D","Dark")</f>
        <v>Dark</v>
      </c>
      <c r="P505" t="str">
        <f>_xlfn.XLOOKUP(orders!$C$2:$C$1001,customers!$A$2:$A$1001,customers!$I$2:$I$1001,,0)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IF(_xlfn.XLOOKUP(C506,customers!$A:$A,customers!$C:$C,,0)=0,"",_xlfn.XLOOKUP(C506,customers!$A:$A,customers!$C:$C,,0))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7"/>
        <v>14.265000000000001</v>
      </c>
      <c r="N506" t="s">
        <v>6200</v>
      </c>
      <c r="O506" t="str" cm="1">
        <f t="array" ref="O506">_xlfn.IFS(J506="M","Medium", J506="L","Light", J506="D","Dark")</f>
        <v>Light</v>
      </c>
      <c r="P506" t="str">
        <f>_xlfn.XLOOKUP(orders!$C$2:$C$1001,customers!$A$2:$A$1001,customers!$I$2:$I$1001,,0)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IF(_xlfn.XLOOKUP(C507,customers!$A:$A,customers!$C:$C,,0)=0,"",_xlfn.XLOOKUP(C507,customers!$A:$A,customers!$C:$C,,0))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7"/>
        <v>26.19</v>
      </c>
      <c r="N507" t="s">
        <v>6200</v>
      </c>
      <c r="O507" t="str" cm="1">
        <f t="array" ref="O507">_xlfn.IFS(J507="M","Medium", J507="L","Light", J507="D","Dark")</f>
        <v>Medium</v>
      </c>
      <c r="P507" t="str">
        <f>_xlfn.XLOOKUP(orders!$C$2:$C$1001,customers!$A$2:$A$1001,customers!$I$2:$I$1001,,0)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IF(_xlfn.XLOOKUP(C508,customers!$A:$A,customers!$C:$C,,0)=0,"",_xlfn.XLOOKUP(C508,customers!$A:$A,customers!$C:$C,,0))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7"/>
        <v>25.9</v>
      </c>
      <c r="N508" t="s">
        <v>6199</v>
      </c>
      <c r="O508" t="str" cm="1">
        <f t="array" ref="O508">_xlfn.IFS(J508="M","Medium", J508="L","Light", J508="D","Dark")</f>
        <v>Light</v>
      </c>
      <c r="P508" t="str">
        <f>_xlfn.XLOOKUP(orders!$C$2:$C$1001,customers!$A$2:$A$1001,customers!$I$2:$I$1001,,0)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IF(_xlfn.XLOOKUP(C509,customers!$A:$A,customers!$C:$C,,0)=0,"",_xlfn.XLOOKUP(C509,customers!$A:$A,customers!$C:$C,,0))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7"/>
        <v>89.35499999999999</v>
      </c>
      <c r="N509" t="s">
        <v>6199</v>
      </c>
      <c r="O509" t="str" cm="1">
        <f t="array" ref="O509">_xlfn.IFS(J509="M","Medium", J509="L","Light", J509="D","Dark")</f>
        <v>Light</v>
      </c>
      <c r="P509" t="str">
        <f>_xlfn.XLOOKUP(orders!$C$2:$C$1001,customers!$A$2:$A$1001,customers!$I$2:$I$1001,,0)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IF(_xlfn.XLOOKUP(C510,customers!$A:$A,customers!$C:$C,,0)=0,"",_xlfn.XLOOKUP(C510,customers!$A:$A,customers!$C:$C,,0))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7"/>
        <v>46.62</v>
      </c>
      <c r="N510" t="s">
        <v>6200</v>
      </c>
      <c r="O510" t="str" cm="1">
        <f t="array" ref="O510">_xlfn.IFS(J510="M","Medium", J510="L","Light", J510="D","Dark")</f>
        <v>Dark</v>
      </c>
      <c r="P510" t="str">
        <f>_xlfn.XLOOKUP(orders!$C$2:$C$1001,customers!$A$2:$A$1001,customers!$I$2:$I$1001,,0)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IF(_xlfn.XLOOKUP(C511,customers!$A:$A,customers!$C:$C,,0)=0,"",_xlfn.XLOOKUP(C511,customers!$A:$A,customers!$C:$C,,0))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7"/>
        <v>29.849999999999998</v>
      </c>
      <c r="N511" t="s">
        <v>6199</v>
      </c>
      <c r="O511" t="str" cm="1">
        <f t="array" ref="O511">_xlfn.IFS(J511="M","Medium", J511="L","Light", J511="D","Dark")</f>
        <v>Dark</v>
      </c>
      <c r="P511" t="str">
        <f>_xlfn.XLOOKUP(orders!$C$2:$C$1001,customers!$A$2:$A$1001,customers!$I$2:$I$1001,,0)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IF(_xlfn.XLOOKUP(C512,customers!$A:$A,customers!$C:$C,,0)=0,"",_xlfn.XLOOKUP(C512,customers!$A:$A,customers!$C:$C,,0))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7"/>
        <v>10.754999999999999</v>
      </c>
      <c r="N512" t="s">
        <v>6197</v>
      </c>
      <c r="O512" t="str" cm="1">
        <f t="array" ref="O512">_xlfn.IFS(J512="M","Medium", J512="L","Light", J512="D","Dark")</f>
        <v>Light</v>
      </c>
      <c r="P512" t="str">
        <f>_xlfn.XLOOKUP(orders!$C$2:$C$1001,customers!$A$2:$A$1001,customers!$I$2:$I$1001,,0)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IF(_xlfn.XLOOKUP(C513,customers!$A:$A,customers!$C:$C,,0)=0,"",_xlfn.XLOOKUP(C513,customers!$A:$A,customers!$C:$C,,0))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7"/>
        <v>13.5</v>
      </c>
      <c r="N513" t="s">
        <v>6199</v>
      </c>
      <c r="O513" t="str" cm="1">
        <f t="array" ref="O513">_xlfn.IFS(J513="M","Medium", J513="L","Light", J513="D","Dark")</f>
        <v>Medium</v>
      </c>
      <c r="P513" t="str">
        <f>_xlfn.XLOOKUP(orders!$C$2:$C$1001,customers!$A$2:$A$1001,customers!$I$2:$I$1001,,0)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IF(_xlfn.XLOOKUP(C514,customers!$A:$A,customers!$C:$C,,0)=0,"",_xlfn.XLOOKUP(C514,customers!$A:$A,customers!$C:$C,,0))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7"/>
        <v>47.55</v>
      </c>
      <c r="N514" t="s">
        <v>6200</v>
      </c>
      <c r="O514" t="str" cm="1">
        <f t="array" ref="O514">_xlfn.IFS(J514="M","Medium", J514="L","Light", J514="D","Dark")</f>
        <v>Light</v>
      </c>
      <c r="P514" t="str">
        <f>_xlfn.XLOOKUP(orders!$C$2:$C$1001,customers!$A$2:$A$1001,customers!$I$2:$I$1001,,0)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IF(_xlfn.XLOOKUP(C515,customers!$A:$A,customers!$C:$C,,0)=0,"",_xlfn.XLOOKUP(C515,customers!$A:$A,customers!$C:$C,,0))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8">L515*E515</f>
        <v>79.25</v>
      </c>
      <c r="N515" t="s">
        <v>6200</v>
      </c>
      <c r="O515" t="str" cm="1">
        <f t="array" ref="O515">_xlfn.IFS(J515="M","Medium", J515="L","Light", J515="D","Dark")</f>
        <v>Light</v>
      </c>
      <c r="P515" t="str">
        <f>_xlfn.XLOOKUP(orders!$C$2:$C$1001,customers!$A$2:$A$1001,customers!$I$2:$I$1001,,0)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IF(_xlfn.XLOOKUP(C516,customers!$A:$A,customers!$C:$C,,0)=0,"",_xlfn.XLOOKUP(C516,customers!$A:$A,customers!$C:$C,,0))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8"/>
        <v>26.19</v>
      </c>
      <c r="N516" t="s">
        <v>6200</v>
      </c>
      <c r="O516" t="str" cm="1">
        <f t="array" ref="O516">_xlfn.IFS(J516="M","Medium", J516="L","Light", J516="D","Dark")</f>
        <v>Medium</v>
      </c>
      <c r="P516" t="str">
        <f>_xlfn.XLOOKUP(orders!$C$2:$C$1001,customers!$A$2:$A$1001,customers!$I$2:$I$1001,,0)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IF(_xlfn.XLOOKUP(C517,customers!$A:$A,customers!$C:$C,,0)=0,"",_xlfn.XLOOKUP(C517,customers!$A:$A,customers!$C:$C,,0))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8"/>
        <v>21.509999999999998</v>
      </c>
      <c r="N517" t="s">
        <v>6197</v>
      </c>
      <c r="O517" t="str" cm="1">
        <f t="array" ref="O517">_xlfn.IFS(J517="M","Medium", J517="L","Light", J517="D","Dark")</f>
        <v>Light</v>
      </c>
      <c r="P517" t="str">
        <f>_xlfn.XLOOKUP(orders!$C$2:$C$1001,customers!$A$2:$A$1001,customers!$I$2:$I$1001,,0)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IF(_xlfn.XLOOKUP(C518,customers!$A:$A,customers!$C:$C,,0)=0,"",_xlfn.XLOOKUP(C518,customers!$A:$A,customers!$C:$C,,0))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8"/>
        <v>102.92499999999998</v>
      </c>
      <c r="N518" t="s">
        <v>6197</v>
      </c>
      <c r="O518" t="str" cm="1">
        <f t="array" ref="O518">_xlfn.IFS(J518="M","Medium", J518="L","Light", J518="D","Dark")</f>
        <v>Dark</v>
      </c>
      <c r="P518" t="str">
        <f>_xlfn.XLOOKUP(orders!$C$2:$C$1001,customers!$A$2:$A$1001,customers!$I$2:$I$1001,,0)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IF(_xlfn.XLOOKUP(C519,customers!$A:$A,customers!$C:$C,,0)=0,"",_xlfn.XLOOKUP(C519,customers!$A:$A,customers!$C:$C,,0))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8"/>
        <v>7.77</v>
      </c>
      <c r="N519" t="s">
        <v>6200</v>
      </c>
      <c r="O519" t="str" cm="1">
        <f t="array" ref="O519">_xlfn.IFS(J519="M","Medium", J519="L","Light", J519="D","Dark")</f>
        <v>Dark</v>
      </c>
      <c r="P519" t="str">
        <f>_xlfn.XLOOKUP(orders!$C$2:$C$1001,customers!$A$2:$A$1001,customers!$I$2:$I$1001,,0)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IF(_xlfn.XLOOKUP(C520,customers!$A:$A,customers!$C:$C,,0)=0,"",_xlfn.XLOOKUP(C520,customers!$A:$A,customers!$C:$C,,0))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8"/>
        <v>139.72499999999999</v>
      </c>
      <c r="N520" t="s">
        <v>6198</v>
      </c>
      <c r="O520" t="str" cm="1">
        <f t="array" ref="O520">_xlfn.IFS(J520="M","Medium", J520="L","Light", J520="D","Dark")</f>
        <v>Dark</v>
      </c>
      <c r="P520" t="str">
        <f>_xlfn.XLOOKUP(orders!$C$2:$C$1001,customers!$A$2:$A$1001,customers!$I$2:$I$1001,,0)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IF(_xlfn.XLOOKUP(C521,customers!$A:$A,customers!$C:$C,,0)=0,"",_xlfn.XLOOKUP(C521,customers!$A:$A,customers!$C:$C,,0))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8"/>
        <v>11.94</v>
      </c>
      <c r="N521" t="s">
        <v>6199</v>
      </c>
      <c r="O521" t="str" cm="1">
        <f t="array" ref="O521">_xlfn.IFS(J521="M","Medium", J521="L","Light", J521="D","Dark")</f>
        <v>Dark</v>
      </c>
      <c r="P521" t="str">
        <f>_xlfn.XLOOKUP(orders!$C$2:$C$1001,customers!$A$2:$A$1001,customers!$I$2:$I$1001,,0)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IF(_xlfn.XLOOKUP(C522,customers!$A:$A,customers!$C:$C,,0)=0,"",_xlfn.XLOOKUP(C522,customers!$A:$A,customers!$C:$C,,0))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8"/>
        <v>3.8849999999999998</v>
      </c>
      <c r="N522" t="s">
        <v>6200</v>
      </c>
      <c r="O522" t="str" cm="1">
        <f t="array" ref="O522">_xlfn.IFS(J522="M","Medium", J522="L","Light", J522="D","Dark")</f>
        <v>Dark</v>
      </c>
      <c r="P522" t="str">
        <f>_xlfn.XLOOKUP(orders!$C$2:$C$1001,customers!$A$2:$A$1001,customers!$I$2:$I$1001,,0)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IF(_xlfn.XLOOKUP(C523,customers!$A:$A,customers!$C:$C,,0)=0,"",_xlfn.XLOOKUP(C523,customers!$A:$A,customers!$C:$C,,0))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8"/>
        <v>39.799999999999997</v>
      </c>
      <c r="N523" t="s">
        <v>6197</v>
      </c>
      <c r="O523" t="str" cm="1">
        <f t="array" ref="O523">_xlfn.IFS(J523="M","Medium", J523="L","Light", J523="D","Dark")</f>
        <v>Medium</v>
      </c>
      <c r="P523" t="str">
        <f>_xlfn.XLOOKUP(orders!$C$2:$C$1001,customers!$A$2:$A$1001,customers!$I$2:$I$1001,,0)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IF(_xlfn.XLOOKUP(C524,customers!$A:$A,customers!$C:$C,,0)=0,"",_xlfn.XLOOKUP(C524,customers!$A:$A,customers!$C:$C,,0))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8"/>
        <v>29.849999999999998</v>
      </c>
      <c r="N524" t="s">
        <v>6197</v>
      </c>
      <c r="O524" t="str" cm="1">
        <f t="array" ref="O524">_xlfn.IFS(J524="M","Medium", J524="L","Light", J524="D","Dark")</f>
        <v>Medium</v>
      </c>
      <c r="P524" t="str">
        <f>_xlfn.XLOOKUP(orders!$C$2:$C$1001,customers!$A$2:$A$1001,customers!$I$2:$I$1001,,0)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IF(_xlfn.XLOOKUP(C525,customers!$A:$A,customers!$C:$C,,0)=0,"",_xlfn.XLOOKUP(C525,customers!$A:$A,customers!$C:$C,,0))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8"/>
        <v>29.784999999999997</v>
      </c>
      <c r="N525" t="s">
        <v>6200</v>
      </c>
      <c r="O525" t="str" cm="1">
        <f t="array" ref="O525">_xlfn.IFS(J525="M","Medium", J525="L","Light", J525="D","Dark")</f>
        <v>Dark</v>
      </c>
      <c r="P525" t="str">
        <f>_xlfn.XLOOKUP(orders!$C$2:$C$1001,customers!$A$2:$A$1001,customers!$I$2:$I$1001,,0)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IF(_xlfn.XLOOKUP(C526,customers!$A:$A,customers!$C:$C,,0)=0,"",_xlfn.XLOOKUP(C526,customers!$A:$A,customers!$C:$C,,0))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8"/>
        <v>72.91</v>
      </c>
      <c r="N526" t="s">
        <v>6200</v>
      </c>
      <c r="O526" t="str" cm="1">
        <f t="array" ref="O526">_xlfn.IFS(J526="M","Medium", J526="L","Light", J526="D","Dark")</f>
        <v>Light</v>
      </c>
      <c r="P526" t="str">
        <f>_xlfn.XLOOKUP(orders!$C$2:$C$1001,customers!$A$2:$A$1001,customers!$I$2:$I$1001,,0)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IF(_xlfn.XLOOKUP(C527,customers!$A:$A,customers!$C:$C,,0)=0,"",_xlfn.XLOOKUP(C527,customers!$A:$A,customers!$C:$C,,0))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8"/>
        <v>13.424999999999997</v>
      </c>
      <c r="N527" t="s">
        <v>6197</v>
      </c>
      <c r="O527" t="str" cm="1">
        <f t="array" ref="O527">_xlfn.IFS(J527="M","Medium", J527="L","Light", J527="D","Dark")</f>
        <v>Dark</v>
      </c>
      <c r="P527" t="str">
        <f>_xlfn.XLOOKUP(orders!$C$2:$C$1001,customers!$A$2:$A$1001,customers!$I$2:$I$1001,,0)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IF(_xlfn.XLOOKUP(C528,customers!$A:$A,customers!$C:$C,,0)=0,"",_xlfn.XLOOKUP(C528,customers!$A:$A,customers!$C:$C,,0))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8"/>
        <v>126.49999999999999</v>
      </c>
      <c r="N528" t="s">
        <v>6198</v>
      </c>
      <c r="O528" t="str" cm="1">
        <f t="array" ref="O528">_xlfn.IFS(J528="M","Medium", J528="L","Light", J528="D","Dark")</f>
        <v>Medium</v>
      </c>
      <c r="P528" t="str">
        <f>_xlfn.XLOOKUP(orders!$C$2:$C$1001,customers!$A$2:$A$1001,customers!$I$2:$I$1001,,0)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IF(_xlfn.XLOOKUP(C529,customers!$A:$A,customers!$C:$C,,0)=0,"",_xlfn.XLOOKUP(C529,customers!$A:$A,customers!$C:$C,,0))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8"/>
        <v>41.25</v>
      </c>
      <c r="N529" t="s">
        <v>6198</v>
      </c>
      <c r="O529" t="str" cm="1">
        <f t="array" ref="O529">_xlfn.IFS(J529="M","Medium", J529="L","Light", J529="D","Dark")</f>
        <v>Medium</v>
      </c>
      <c r="P529" t="str">
        <f>_xlfn.XLOOKUP(orders!$C$2:$C$1001,customers!$A$2:$A$1001,customers!$I$2:$I$1001,,0)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IF(_xlfn.XLOOKUP(C530,customers!$A:$A,customers!$C:$C,,0)=0,"",_xlfn.XLOOKUP(C530,customers!$A:$A,customers!$C:$C,,0))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8"/>
        <v>53.46</v>
      </c>
      <c r="N530" t="s">
        <v>6198</v>
      </c>
      <c r="O530" t="str" cm="1">
        <f t="array" ref="O530">_xlfn.IFS(J530="M","Medium", J530="L","Light", J530="D","Dark")</f>
        <v>Light</v>
      </c>
      <c r="P530" t="str">
        <f>_xlfn.XLOOKUP(orders!$C$2:$C$1001,customers!$A$2:$A$1001,customers!$I$2:$I$1001,,0)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IF(_xlfn.XLOOKUP(C531,customers!$A:$A,customers!$C:$C,,0)=0,"",_xlfn.XLOOKUP(C531,customers!$A:$A,customers!$C:$C,,0))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8"/>
        <v>59.699999999999996</v>
      </c>
      <c r="N531" t="s">
        <v>6197</v>
      </c>
      <c r="O531" t="str" cm="1">
        <f t="array" ref="O531">_xlfn.IFS(J531="M","Medium", J531="L","Light", J531="D","Dark")</f>
        <v>Medium</v>
      </c>
      <c r="P531" t="str">
        <f>_xlfn.XLOOKUP(orders!$C$2:$C$1001,customers!$A$2:$A$1001,customers!$I$2:$I$1001,,0)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IF(_xlfn.XLOOKUP(C532,customers!$A:$A,customers!$C:$C,,0)=0,"",_xlfn.XLOOKUP(C532,customers!$A:$A,customers!$C:$C,,0))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8"/>
        <v>59.699999999999996</v>
      </c>
      <c r="N532" t="s">
        <v>6197</v>
      </c>
      <c r="O532" t="str" cm="1">
        <f t="array" ref="O532">_xlfn.IFS(J532="M","Medium", J532="L","Light", J532="D","Dark")</f>
        <v>Medium</v>
      </c>
      <c r="P532" t="str">
        <f>_xlfn.XLOOKUP(orders!$C$2:$C$1001,customers!$A$2:$A$1001,customers!$I$2:$I$1001,,0)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IF(_xlfn.XLOOKUP(C533,customers!$A:$A,customers!$C:$C,,0)=0,"",_xlfn.XLOOKUP(C533,customers!$A:$A,customers!$C:$C,,0))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8"/>
        <v>44.75</v>
      </c>
      <c r="N533" t="s">
        <v>6197</v>
      </c>
      <c r="O533" t="str" cm="1">
        <f t="array" ref="O533">_xlfn.IFS(J533="M","Medium", J533="L","Light", J533="D","Dark")</f>
        <v>Dark</v>
      </c>
      <c r="P533" t="str">
        <f>_xlfn.XLOOKUP(orders!$C$2:$C$1001,customers!$A$2:$A$1001,customers!$I$2:$I$1001,,0)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IF(_xlfn.XLOOKUP(C534,customers!$A:$A,customers!$C:$C,,0)=0,"",_xlfn.XLOOKUP(C534,customers!$A:$A,customers!$C:$C,,0))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8"/>
        <v>16.5</v>
      </c>
      <c r="N534" t="s">
        <v>6198</v>
      </c>
      <c r="O534" t="str" cm="1">
        <f t="array" ref="O534">_xlfn.IFS(J534="M","Medium", J534="L","Light", J534="D","Dark")</f>
        <v>Medium</v>
      </c>
      <c r="P534" t="str">
        <f>_xlfn.XLOOKUP(orders!$C$2:$C$1001,customers!$A$2:$A$1001,customers!$I$2:$I$1001,,0)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IF(_xlfn.XLOOKUP(C535,customers!$A:$A,customers!$C:$C,,0)=0,"",_xlfn.XLOOKUP(C535,customers!$A:$A,customers!$C:$C,,0))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8"/>
        <v>21.479999999999997</v>
      </c>
      <c r="N535" t="s">
        <v>6197</v>
      </c>
      <c r="O535" t="str" cm="1">
        <f t="array" ref="O535">_xlfn.IFS(J535="M","Medium", J535="L","Light", J535="D","Dark")</f>
        <v>Dark</v>
      </c>
      <c r="P535" t="str">
        <f>_xlfn.XLOOKUP(orders!$C$2:$C$1001,customers!$A$2:$A$1001,customers!$I$2:$I$1001,,0)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IF(_xlfn.XLOOKUP(C536,customers!$A:$A,customers!$C:$C,,0)=0,"",_xlfn.XLOOKUP(C536,customers!$A:$A,customers!$C:$C,,0))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8"/>
        <v>45.769999999999996</v>
      </c>
      <c r="N536" t="s">
        <v>6197</v>
      </c>
      <c r="O536" t="str" cm="1">
        <f t="array" ref="O536">_xlfn.IFS(J536="M","Medium", J536="L","Light", J536="D","Dark")</f>
        <v>Medium</v>
      </c>
      <c r="P536" t="str">
        <f>_xlfn.XLOOKUP(orders!$C$2:$C$1001,customers!$A$2:$A$1001,customers!$I$2:$I$1001,,0)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IF(_xlfn.XLOOKUP(C537,customers!$A:$A,customers!$C:$C,,0)=0,"",_xlfn.XLOOKUP(C537,customers!$A:$A,customers!$C:$C,,0))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8"/>
        <v>9.51</v>
      </c>
      <c r="N537" t="s">
        <v>6200</v>
      </c>
      <c r="O537" t="str" cm="1">
        <f t="array" ref="O537">_xlfn.IFS(J537="M","Medium", J537="L","Light", J537="D","Dark")</f>
        <v>Light</v>
      </c>
      <c r="P537" t="str">
        <f>_xlfn.XLOOKUP(orders!$C$2:$C$1001,customers!$A$2:$A$1001,customers!$I$2:$I$1001,,0)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IF(_xlfn.XLOOKUP(C538,customers!$A:$A,customers!$C:$C,,0)=0,"",_xlfn.XLOOKUP(C538,customers!$A:$A,customers!$C:$C,,0))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8"/>
        <v>8.0549999999999997</v>
      </c>
      <c r="N538" t="s">
        <v>6197</v>
      </c>
      <c r="O538" t="str" cm="1">
        <f t="array" ref="O538">_xlfn.IFS(J538="M","Medium", J538="L","Light", J538="D","Dark")</f>
        <v>Dark</v>
      </c>
      <c r="P538" t="str">
        <f>_xlfn.XLOOKUP(orders!$C$2:$C$1001,customers!$A$2:$A$1001,customers!$I$2:$I$1001,,0)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IF(_xlfn.XLOOKUP(C539,customers!$A:$A,customers!$C:$C,,0)=0,"",_xlfn.XLOOKUP(C539,customers!$A:$A,customers!$C:$C,,0))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8"/>
        <v>111.78</v>
      </c>
      <c r="N539" t="s">
        <v>6198</v>
      </c>
      <c r="O539" t="str" cm="1">
        <f t="array" ref="O539">_xlfn.IFS(J539="M","Medium", J539="L","Light", J539="D","Dark")</f>
        <v>Dark</v>
      </c>
      <c r="P539" t="str">
        <f>_xlfn.XLOOKUP(orders!$C$2:$C$1001,customers!$A$2:$A$1001,customers!$I$2:$I$1001,,0)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IF(_xlfn.XLOOKUP(C540,customers!$A:$A,customers!$C:$C,,0)=0,"",_xlfn.XLOOKUP(C540,customers!$A:$A,customers!$C:$C,,0))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8"/>
        <v>10.739999999999998</v>
      </c>
      <c r="N540" t="s">
        <v>6197</v>
      </c>
      <c r="O540" t="str" cm="1">
        <f t="array" ref="O540">_xlfn.IFS(J540="M","Medium", J540="L","Light", J540="D","Dark")</f>
        <v>Dark</v>
      </c>
      <c r="P540" t="str">
        <f>_xlfn.XLOOKUP(orders!$C$2:$C$1001,customers!$A$2:$A$1001,customers!$I$2:$I$1001,,0)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IF(_xlfn.XLOOKUP(C541,customers!$A:$A,customers!$C:$C,,0)=0,"",_xlfn.XLOOKUP(C541,customers!$A:$A,customers!$C:$C,,0))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8"/>
        <v>26.849999999999994</v>
      </c>
      <c r="N541" t="s">
        <v>6197</v>
      </c>
      <c r="O541" t="str" cm="1">
        <f t="array" ref="O541">_xlfn.IFS(J541="M","Medium", J541="L","Light", J541="D","Dark")</f>
        <v>Dark</v>
      </c>
      <c r="P541" t="str">
        <f>_xlfn.XLOOKUP(orders!$C$2:$C$1001,customers!$A$2:$A$1001,customers!$I$2:$I$1001,,0)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IF(_xlfn.XLOOKUP(C542,customers!$A:$A,customers!$C:$C,,0)=0,"",_xlfn.XLOOKUP(C542,customers!$A:$A,customers!$C:$C,,0))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8"/>
        <v>63.4</v>
      </c>
      <c r="N542" t="s">
        <v>6200</v>
      </c>
      <c r="O542" t="str" cm="1">
        <f t="array" ref="O542">_xlfn.IFS(J542="M","Medium", J542="L","Light", J542="D","Dark")</f>
        <v>Light</v>
      </c>
      <c r="P542" t="str">
        <f>_xlfn.XLOOKUP(orders!$C$2:$C$1001,customers!$A$2:$A$1001,customers!$I$2:$I$1001,,0)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IF(_xlfn.XLOOKUP(C543,customers!$A:$A,customers!$C:$C,,0)=0,"",_xlfn.XLOOKUP(C543,customers!$A:$A,customers!$C:$C,,0))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8"/>
        <v>22.884999999999998</v>
      </c>
      <c r="N543" t="s">
        <v>6199</v>
      </c>
      <c r="O543" t="str" cm="1">
        <f t="array" ref="O543">_xlfn.IFS(J543="M","Medium", J543="L","Light", J543="D","Dark")</f>
        <v>Dark</v>
      </c>
      <c r="P543" t="str">
        <f>_xlfn.XLOOKUP(orders!$C$2:$C$1001,customers!$A$2:$A$1001,customers!$I$2:$I$1001,,0)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IF(_xlfn.XLOOKUP(C544,customers!$A:$A,customers!$C:$C,,0)=0,"",_xlfn.XLOOKUP(C544,customers!$A:$A,customers!$C:$C,,0))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8"/>
        <v>103.49999999999999</v>
      </c>
      <c r="N544" t="s">
        <v>6199</v>
      </c>
      <c r="O544" t="str" cm="1">
        <f t="array" ref="O544">_xlfn.IFS(J544="M","Medium", J544="L","Light", J544="D","Dark")</f>
        <v>Medium</v>
      </c>
      <c r="P544" t="str">
        <f>_xlfn.XLOOKUP(orders!$C$2:$C$1001,customers!$A$2:$A$1001,customers!$I$2:$I$1001,,0)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IF(_xlfn.XLOOKUP(C545,customers!$A:$A,customers!$C:$C,,0)=0,"",_xlfn.XLOOKUP(C545,customers!$A:$A,customers!$C:$C,,0))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8"/>
        <v>54.969999999999992</v>
      </c>
      <c r="N545" t="s">
        <v>6197</v>
      </c>
      <c r="O545" t="str" cm="1">
        <f t="array" ref="O545">_xlfn.IFS(J545="M","Medium", J545="L","Light", J545="D","Dark")</f>
        <v>Light</v>
      </c>
      <c r="P545" t="str">
        <f>_xlfn.XLOOKUP(orders!$C$2:$C$1001,customers!$A$2:$A$1001,customers!$I$2:$I$1001,,0)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IF(_xlfn.XLOOKUP(C546,customers!$A:$A,customers!$C:$C,,0)=0,"",_xlfn.XLOOKUP(C546,customers!$A:$A,customers!$C:$C,,0))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8"/>
        <v>15.54</v>
      </c>
      <c r="N546" t="s">
        <v>6199</v>
      </c>
      <c r="O546" t="str" cm="1">
        <f t="array" ref="O546">_xlfn.IFS(J546="M","Medium", J546="L","Light", J546="D","Dark")</f>
        <v>Light</v>
      </c>
      <c r="P546" t="str">
        <f>_xlfn.XLOOKUP(orders!$C$2:$C$1001,customers!$A$2:$A$1001,customers!$I$2:$I$1001,,0)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IF(_xlfn.XLOOKUP(C547,customers!$A:$A,customers!$C:$C,,0)=0,"",_xlfn.XLOOKUP(C547,customers!$A:$A,customers!$C:$C,,0))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8"/>
        <v>15.54</v>
      </c>
      <c r="N547" t="s">
        <v>6200</v>
      </c>
      <c r="O547" t="str" cm="1">
        <f t="array" ref="O547">_xlfn.IFS(J547="M","Medium", J547="L","Light", J547="D","Dark")</f>
        <v>Dark</v>
      </c>
      <c r="P547" t="str">
        <f>_xlfn.XLOOKUP(orders!$C$2:$C$1001,customers!$A$2:$A$1001,customers!$I$2:$I$1001,,0)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IF(_xlfn.XLOOKUP(C548,customers!$A:$A,customers!$C:$C,,0)=0,"",_xlfn.XLOOKUP(C548,customers!$A:$A,customers!$C:$C,,0))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8"/>
        <v>83.835000000000008</v>
      </c>
      <c r="N548" t="s">
        <v>6198</v>
      </c>
      <c r="O548" t="str" cm="1">
        <f t="array" ref="O548">_xlfn.IFS(J548="M","Medium", J548="L","Light", J548="D","Dark")</f>
        <v>Dark</v>
      </c>
      <c r="P548" t="str">
        <f>_xlfn.XLOOKUP(orders!$C$2:$C$1001,customers!$A$2:$A$1001,customers!$I$2:$I$1001,,0)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IF(_xlfn.XLOOKUP(C549,customers!$A:$A,customers!$C:$C,,0)=0,"",_xlfn.XLOOKUP(C549,customers!$A:$A,customers!$C:$C,,0))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8"/>
        <v>10.754999999999999</v>
      </c>
      <c r="N549" t="s">
        <v>6197</v>
      </c>
      <c r="O549" t="str" cm="1">
        <f t="array" ref="O549">_xlfn.IFS(J549="M","Medium", J549="L","Light", J549="D","Dark")</f>
        <v>Light</v>
      </c>
      <c r="P549" t="str">
        <f>_xlfn.XLOOKUP(orders!$C$2:$C$1001,customers!$A$2:$A$1001,customers!$I$2:$I$1001,,0)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IF(_xlfn.XLOOKUP(C550,customers!$A:$A,customers!$C:$C,,0)=0,"",_xlfn.XLOOKUP(C550,customers!$A:$A,customers!$C:$C,,0))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8"/>
        <v>13.365</v>
      </c>
      <c r="N550" t="s">
        <v>6198</v>
      </c>
      <c r="O550" t="str" cm="1">
        <f t="array" ref="O550">_xlfn.IFS(J550="M","Medium", J550="L","Light", J550="D","Dark")</f>
        <v>Light</v>
      </c>
      <c r="P550" t="str">
        <f>_xlfn.XLOOKUP(orders!$C$2:$C$1001,customers!$A$2:$A$1001,customers!$I$2:$I$1001,,0)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IF(_xlfn.XLOOKUP(C551,customers!$A:$A,customers!$C:$C,,0)=0,"",_xlfn.XLOOKUP(C551,customers!$A:$A,customers!$C:$C,,0))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8"/>
        <v>17.82</v>
      </c>
      <c r="N551" t="s">
        <v>6198</v>
      </c>
      <c r="O551" t="str" cm="1">
        <f t="array" ref="O551">_xlfn.IFS(J551="M","Medium", J551="L","Light", J551="D","Dark")</f>
        <v>Light</v>
      </c>
      <c r="P551" t="str">
        <f>_xlfn.XLOOKUP(orders!$C$2:$C$1001,customers!$A$2:$A$1001,customers!$I$2:$I$1001,,0)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IF(_xlfn.XLOOKUP(C552,customers!$A:$A,customers!$C:$C,,0)=0,"",_xlfn.XLOOKUP(C552,customers!$A:$A,customers!$C:$C,,0))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8"/>
        <v>23.31</v>
      </c>
      <c r="N552" t="s">
        <v>6200</v>
      </c>
      <c r="O552" t="str" cm="1">
        <f t="array" ref="O552">_xlfn.IFS(J552="M","Medium", J552="L","Light", J552="D","Dark")</f>
        <v>Dark</v>
      </c>
      <c r="P552" t="str">
        <f>_xlfn.XLOOKUP(orders!$C$2:$C$1001,customers!$A$2:$A$1001,customers!$I$2:$I$1001,,0)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IF(_xlfn.XLOOKUP(C553,customers!$A:$A,customers!$C:$C,,0)=0,"",_xlfn.XLOOKUP(C553,customers!$A:$A,customers!$C:$C,,0))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8"/>
        <v>7.29</v>
      </c>
      <c r="N553" t="s">
        <v>6198</v>
      </c>
      <c r="O553" t="str" cm="1">
        <f t="array" ref="O553">_xlfn.IFS(J553="M","Medium", J553="L","Light", J553="D","Dark")</f>
        <v>Dark</v>
      </c>
      <c r="P553" t="str">
        <f>_xlfn.XLOOKUP(orders!$C$2:$C$1001,customers!$A$2:$A$1001,customers!$I$2:$I$1001,,0)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IF(_xlfn.XLOOKUP(C554,customers!$A:$A,customers!$C:$C,,0)=0,"",_xlfn.XLOOKUP(C554,customers!$A:$A,customers!$C:$C,,0))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8"/>
        <v>17.82</v>
      </c>
      <c r="N554" t="s">
        <v>6198</v>
      </c>
      <c r="O554" t="str" cm="1">
        <f t="array" ref="O554">_xlfn.IFS(J554="M","Medium", J554="L","Light", J554="D","Dark")</f>
        <v>Light</v>
      </c>
      <c r="P554" t="str">
        <f>_xlfn.XLOOKUP(orders!$C$2:$C$1001,customers!$A$2:$A$1001,customers!$I$2:$I$1001,,0)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IF(_xlfn.XLOOKUP(C555,customers!$A:$A,customers!$C:$C,,0)=0,"",_xlfn.XLOOKUP(C555,customers!$A:$A,customers!$C:$C,,0))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8"/>
        <v>68.75</v>
      </c>
      <c r="N555" t="s">
        <v>6198</v>
      </c>
      <c r="O555" t="str" cm="1">
        <f t="array" ref="O555">_xlfn.IFS(J555="M","Medium", J555="L","Light", J555="D","Dark")</f>
        <v>Medium</v>
      </c>
      <c r="P555" t="str">
        <f>_xlfn.XLOOKUP(orders!$C$2:$C$1001,customers!$A$2:$A$1001,customers!$I$2:$I$1001,,0)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IF(_xlfn.XLOOKUP(C556,customers!$A:$A,customers!$C:$C,,0)=0,"",_xlfn.XLOOKUP(C556,customers!$A:$A,customers!$C:$C,,0))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8"/>
        <v>54.969999999999992</v>
      </c>
      <c r="N556" t="s">
        <v>6197</v>
      </c>
      <c r="O556" t="str" cm="1">
        <f t="array" ref="O556">_xlfn.IFS(J556="M","Medium", J556="L","Light", J556="D","Dark")</f>
        <v>Light</v>
      </c>
      <c r="P556" t="str">
        <f>_xlfn.XLOOKUP(orders!$C$2:$C$1001,customers!$A$2:$A$1001,customers!$I$2:$I$1001,,0)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IF(_xlfn.XLOOKUP(C557,customers!$A:$A,customers!$C:$C,,0)=0,"",_xlfn.XLOOKUP(C557,customers!$A:$A,customers!$C:$C,,0))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8"/>
        <v>82.5</v>
      </c>
      <c r="N557" t="s">
        <v>6198</v>
      </c>
      <c r="O557" t="str" cm="1">
        <f t="array" ref="O557">_xlfn.IFS(J557="M","Medium", J557="L","Light", J557="D","Dark")</f>
        <v>Medium</v>
      </c>
      <c r="P557" t="str">
        <f>_xlfn.XLOOKUP(orders!$C$2:$C$1001,customers!$A$2:$A$1001,customers!$I$2:$I$1001,,0)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IF(_xlfn.XLOOKUP(C558,customers!$A:$A,customers!$C:$C,,0)=0,"",_xlfn.XLOOKUP(C558,customers!$A:$A,customers!$C:$C,,0))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8"/>
        <v>8.73</v>
      </c>
      <c r="N558" t="s">
        <v>6200</v>
      </c>
      <c r="O558" t="str" cm="1">
        <f t="array" ref="O558">_xlfn.IFS(J558="M","Medium", J558="L","Light", J558="D","Dark")</f>
        <v>Medium</v>
      </c>
      <c r="P558" t="str">
        <f>_xlfn.XLOOKUP(orders!$C$2:$C$1001,customers!$A$2:$A$1001,customers!$I$2:$I$1001,,0)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IF(_xlfn.XLOOKUP(C559,customers!$A:$A,customers!$C:$C,,0)=0,"",_xlfn.XLOOKUP(C559,customers!$A:$A,customers!$C:$C,,0))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8"/>
        <v>59.4</v>
      </c>
      <c r="N559" t="s">
        <v>6198</v>
      </c>
      <c r="O559" t="str" cm="1">
        <f t="array" ref="O559">_xlfn.IFS(J559="M","Medium", J559="L","Light", J559="D","Dark")</f>
        <v>Light</v>
      </c>
      <c r="P559" t="str">
        <f>_xlfn.XLOOKUP(orders!$C$2:$C$1001,customers!$A$2:$A$1001,customers!$I$2:$I$1001,,0)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IF(_xlfn.XLOOKUP(C560,customers!$A:$A,customers!$C:$C,,0)=0,"",_xlfn.XLOOKUP(C560,customers!$A:$A,customers!$C:$C,,0))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8"/>
        <v>15.54</v>
      </c>
      <c r="N560" t="s">
        <v>6200</v>
      </c>
      <c r="O560" t="str" cm="1">
        <f t="array" ref="O560">_xlfn.IFS(J560="M","Medium", J560="L","Light", J560="D","Dark")</f>
        <v>Dark</v>
      </c>
      <c r="P560" t="str">
        <f>_xlfn.XLOOKUP(orders!$C$2:$C$1001,customers!$A$2:$A$1001,customers!$I$2:$I$1001,,0)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IF(_xlfn.XLOOKUP(C561,customers!$A:$A,customers!$C:$C,,0)=0,"",_xlfn.XLOOKUP(C561,customers!$A:$A,customers!$C:$C,,0))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8"/>
        <v>38.849999999999994</v>
      </c>
      <c r="N561" t="s">
        <v>6199</v>
      </c>
      <c r="O561" t="str" cm="1">
        <f t="array" ref="O561">_xlfn.IFS(J561="M","Medium", J561="L","Light", J561="D","Dark")</f>
        <v>Light</v>
      </c>
      <c r="P561" t="str">
        <f>_xlfn.XLOOKUP(orders!$C$2:$C$1001,customers!$A$2:$A$1001,customers!$I$2:$I$1001,,0)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IF(_xlfn.XLOOKUP(C562,customers!$A:$A,customers!$C:$C,,0)=0,"",_xlfn.XLOOKUP(C562,customers!$A:$A,customers!$C:$C,,0))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8"/>
        <v>189.74999999999997</v>
      </c>
      <c r="N562" t="s">
        <v>6198</v>
      </c>
      <c r="O562" t="str" cm="1">
        <f t="array" ref="O562">_xlfn.IFS(J562="M","Medium", J562="L","Light", J562="D","Dark")</f>
        <v>Medium</v>
      </c>
      <c r="P562" t="str">
        <f>_xlfn.XLOOKUP(orders!$C$2:$C$1001,customers!$A$2:$A$1001,customers!$I$2:$I$1001,,0)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IF(_xlfn.XLOOKUP(C563,customers!$A:$A,customers!$C:$C,,0)=0,"",_xlfn.XLOOKUP(C563,customers!$A:$A,customers!$C:$C,,0))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8"/>
        <v>17.91</v>
      </c>
      <c r="N563" t="s">
        <v>6199</v>
      </c>
      <c r="O563" t="str" cm="1">
        <f t="array" ref="O563">_xlfn.IFS(J563="M","Medium", J563="L","Light", J563="D","Dark")</f>
        <v>Dark</v>
      </c>
      <c r="P563" t="str">
        <f>_xlfn.XLOOKUP(orders!$C$2:$C$1001,customers!$A$2:$A$1001,customers!$I$2:$I$1001,,0)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IF(_xlfn.XLOOKUP(C564,customers!$A:$A,customers!$C:$C,,0)=0,"",_xlfn.XLOOKUP(C564,customers!$A:$A,customers!$C:$C,,0))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8"/>
        <v>28.53</v>
      </c>
      <c r="N564" t="s">
        <v>6200</v>
      </c>
      <c r="O564" t="str" cm="1">
        <f t="array" ref="O564">_xlfn.IFS(J564="M","Medium", J564="L","Light", J564="D","Dark")</f>
        <v>Light</v>
      </c>
      <c r="P564" t="str">
        <f>_xlfn.XLOOKUP(orders!$C$2:$C$1001,customers!$A$2:$A$1001,customers!$I$2:$I$1001,,0)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IF(_xlfn.XLOOKUP(C565,customers!$A:$A,customers!$C:$C,,0)=0,"",_xlfn.XLOOKUP(C565,customers!$A:$A,customers!$C:$C,,0))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8"/>
        <v>82.5</v>
      </c>
      <c r="N565" t="s">
        <v>6198</v>
      </c>
      <c r="O565" t="str" cm="1">
        <f t="array" ref="O565">_xlfn.IFS(J565="M","Medium", J565="L","Light", J565="D","Dark")</f>
        <v>Medium</v>
      </c>
      <c r="P565" t="str">
        <f>_xlfn.XLOOKUP(orders!$C$2:$C$1001,customers!$A$2:$A$1001,customers!$I$2:$I$1001,,0)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IF(_xlfn.XLOOKUP(C566,customers!$A:$A,customers!$C:$C,,0)=0,"",_xlfn.XLOOKUP(C566,customers!$A:$A,customers!$C:$C,,0))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8"/>
        <v>14.339999999999998</v>
      </c>
      <c r="N566" t="s">
        <v>6197</v>
      </c>
      <c r="O566" t="str" cm="1">
        <f t="array" ref="O566">_xlfn.IFS(J566="M","Medium", J566="L","Light", J566="D","Dark")</f>
        <v>Light</v>
      </c>
      <c r="P566" t="str">
        <f>_xlfn.XLOOKUP(orders!$C$2:$C$1001,customers!$A$2:$A$1001,customers!$I$2:$I$1001,,0)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IF(_xlfn.XLOOKUP(C567,customers!$A:$A,customers!$C:$C,,0)=0,"",_xlfn.XLOOKUP(C567,customers!$A:$A,customers!$C:$C,,0))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8"/>
        <v>82.339999999999989</v>
      </c>
      <c r="N567" t="s">
        <v>6197</v>
      </c>
      <c r="O567" t="str" cm="1">
        <f t="array" ref="O567">_xlfn.IFS(J567="M","Medium", J567="L","Light", J567="D","Dark")</f>
        <v>Dark</v>
      </c>
      <c r="P567" t="str">
        <f>_xlfn.XLOOKUP(orders!$C$2:$C$1001,customers!$A$2:$A$1001,customers!$I$2:$I$1001,,0)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IF(_xlfn.XLOOKUP(C568,customers!$A:$A,customers!$C:$C,,0)=0,"",_xlfn.XLOOKUP(C568,customers!$A:$A,customers!$C:$C,,0))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8"/>
        <v>20.25</v>
      </c>
      <c r="N568" t="s">
        <v>6199</v>
      </c>
      <c r="O568" t="str" cm="1">
        <f t="array" ref="O568">_xlfn.IFS(J568="M","Medium", J568="L","Light", J568="D","Dark")</f>
        <v>Medium</v>
      </c>
      <c r="P568" t="str">
        <f>_xlfn.XLOOKUP(orders!$C$2:$C$1001,customers!$A$2:$A$1001,customers!$I$2:$I$1001,,0)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IF(_xlfn.XLOOKUP(C569,customers!$A:$A,customers!$C:$C,,0)=0,"",_xlfn.XLOOKUP(C569,customers!$A:$A,customers!$C:$C,,0))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8"/>
        <v>164.90999999999997</v>
      </c>
      <c r="N569" t="s">
        <v>6197</v>
      </c>
      <c r="O569" t="str" cm="1">
        <f t="array" ref="O569">_xlfn.IFS(J569="M","Medium", J569="L","Light", J569="D","Dark")</f>
        <v>Light</v>
      </c>
      <c r="P569" t="str">
        <f>_xlfn.XLOOKUP(orders!$C$2:$C$1001,customers!$A$2:$A$1001,customers!$I$2:$I$1001,,0)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IF(_xlfn.XLOOKUP(C570,customers!$A:$A,customers!$C:$C,,0)=0,"",_xlfn.XLOOKUP(C570,customers!$A:$A,customers!$C:$C,,0))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8"/>
        <v>19.02</v>
      </c>
      <c r="N570" t="s">
        <v>6200</v>
      </c>
      <c r="O570" t="str" cm="1">
        <f t="array" ref="O570">_xlfn.IFS(J570="M","Medium", J570="L","Light", J570="D","Dark")</f>
        <v>Light</v>
      </c>
      <c r="P570" t="str">
        <f>_xlfn.XLOOKUP(orders!$C$2:$C$1001,customers!$A$2:$A$1001,customers!$I$2:$I$1001,,0)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IF(_xlfn.XLOOKUP(C571,customers!$A:$A,customers!$C:$C,,0)=0,"",_xlfn.XLOOKUP(C571,customers!$A:$A,customers!$C:$C,,0))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8"/>
        <v>137.31</v>
      </c>
      <c r="N571" t="s">
        <v>6199</v>
      </c>
      <c r="O571" t="str" cm="1">
        <f t="array" ref="O571">_xlfn.IFS(J571="M","Medium", J571="L","Light", J571="D","Dark")</f>
        <v>Dark</v>
      </c>
      <c r="P571" t="str">
        <f>_xlfn.XLOOKUP(orders!$C$2:$C$1001,customers!$A$2:$A$1001,customers!$I$2:$I$1001,,0)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IF(_xlfn.XLOOKUP(C572,customers!$A:$A,customers!$C:$C,,0)=0,"",_xlfn.XLOOKUP(C572,customers!$A:$A,customers!$C:$C,,0))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8"/>
        <v>27</v>
      </c>
      <c r="N572" t="s">
        <v>6199</v>
      </c>
      <c r="O572" t="str" cm="1">
        <f t="array" ref="O572">_xlfn.IFS(J572="M","Medium", J572="L","Light", J572="D","Dark")</f>
        <v>Medium</v>
      </c>
      <c r="P572" t="str">
        <f>_xlfn.XLOOKUP(orders!$C$2:$C$1001,customers!$A$2:$A$1001,customers!$I$2:$I$1001,,0)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IF(_xlfn.XLOOKUP(C573,customers!$A:$A,customers!$C:$C,,0)=0,"",_xlfn.XLOOKUP(C573,customers!$A:$A,customers!$C:$C,,0))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8"/>
        <v>35.64</v>
      </c>
      <c r="N573" t="s">
        <v>6198</v>
      </c>
      <c r="O573" t="str" cm="1">
        <f t="array" ref="O573">_xlfn.IFS(J573="M","Medium", J573="L","Light", J573="D","Dark")</f>
        <v>Light</v>
      </c>
      <c r="P573" t="str">
        <f>_xlfn.XLOOKUP(orders!$C$2:$C$1001,customers!$A$2:$A$1001,customers!$I$2:$I$1001,,0)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IF(_xlfn.XLOOKUP(C574,customers!$A:$A,customers!$C:$C,,0)=0,"",_xlfn.XLOOKUP(C574,customers!$A:$A,customers!$C:$C,,0))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8"/>
        <v>5.97</v>
      </c>
      <c r="N574" t="s">
        <v>6199</v>
      </c>
      <c r="O574" t="str" cm="1">
        <f t="array" ref="O574">_xlfn.IFS(J574="M","Medium", J574="L","Light", J574="D","Dark")</f>
        <v>Dark</v>
      </c>
      <c r="P574" t="str">
        <f>_xlfn.XLOOKUP(orders!$C$2:$C$1001,customers!$A$2:$A$1001,customers!$I$2:$I$1001,,0)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IF(_xlfn.XLOOKUP(C575,customers!$A:$A,customers!$C:$C,,0)=0,"",_xlfn.XLOOKUP(C575,customers!$A:$A,customers!$C:$C,,0))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8"/>
        <v>67.5</v>
      </c>
      <c r="N575" t="s">
        <v>6199</v>
      </c>
      <c r="O575" t="str" cm="1">
        <f t="array" ref="O575">_xlfn.IFS(J575="M","Medium", J575="L","Light", J575="D","Dark")</f>
        <v>Medium</v>
      </c>
      <c r="P575" t="str">
        <f>_xlfn.XLOOKUP(orders!$C$2:$C$1001,customers!$A$2:$A$1001,customers!$I$2:$I$1001,,0)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IF(_xlfn.XLOOKUP(C576,customers!$A:$A,customers!$C:$C,,0)=0,"",_xlfn.XLOOKUP(C576,customers!$A:$A,customers!$C:$C,,0))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8"/>
        <v>21.509999999999998</v>
      </c>
      <c r="N576" t="s">
        <v>6197</v>
      </c>
      <c r="O576" t="str" cm="1">
        <f t="array" ref="O576">_xlfn.IFS(J576="M","Medium", J576="L","Light", J576="D","Dark")</f>
        <v>Light</v>
      </c>
      <c r="P576" t="str">
        <f>_xlfn.XLOOKUP(orders!$C$2:$C$1001,customers!$A$2:$A$1001,customers!$I$2:$I$1001,,0)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IF(_xlfn.XLOOKUP(C577,customers!$A:$A,customers!$C:$C,,0)=0,"",_xlfn.XLOOKUP(C577,customers!$A:$A,customers!$C:$C,,0))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8"/>
        <v>66.929999999999993</v>
      </c>
      <c r="N577" t="s">
        <v>6200</v>
      </c>
      <c r="O577" t="str" cm="1">
        <f t="array" ref="O577">_xlfn.IFS(J577="M","Medium", J577="L","Light", J577="D","Dark")</f>
        <v>Medium</v>
      </c>
      <c r="P577" t="str">
        <f>_xlfn.XLOOKUP(orders!$C$2:$C$1001,customers!$A$2:$A$1001,customers!$I$2:$I$1001,,0)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IF(_xlfn.XLOOKUP(C578,customers!$A:$A,customers!$C:$C,,0)=0,"",_xlfn.XLOOKUP(C578,customers!$A:$A,customers!$C:$C,,0))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8"/>
        <v>17.91</v>
      </c>
      <c r="N578" t="s">
        <v>6199</v>
      </c>
      <c r="O578" t="str" cm="1">
        <f t="array" ref="O578">_xlfn.IFS(J578="M","Medium", J578="L","Light", J578="D","Dark")</f>
        <v>Dark</v>
      </c>
      <c r="P578" t="str">
        <f>_xlfn.XLOOKUP(orders!$C$2:$C$1001,customers!$A$2:$A$1001,customers!$I$2:$I$1001,,0)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IF(_xlfn.XLOOKUP(C579,customers!$A:$A,customers!$C:$C,,0)=0,"",_xlfn.XLOOKUP(C579,customers!$A:$A,customers!$C:$C,,0))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9">L579*E579</f>
        <v>58.2</v>
      </c>
      <c r="N579" t="s">
        <v>6200</v>
      </c>
      <c r="O579" t="str" cm="1">
        <f t="array" ref="O579">_xlfn.IFS(J579="M","Medium", J579="L","Light", J579="D","Dark")</f>
        <v>Medium</v>
      </c>
      <c r="P579" t="str">
        <f>_xlfn.XLOOKUP(orders!$C$2:$C$1001,customers!$A$2:$A$1001,customers!$I$2:$I$1001,,0)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IF(_xlfn.XLOOKUP(C580,customers!$A:$A,customers!$C:$C,,0)=0,"",_xlfn.XLOOKUP(C580,customers!$A:$A,customers!$C:$C,,0))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9"/>
        <v>13.365</v>
      </c>
      <c r="N580" t="s">
        <v>6198</v>
      </c>
      <c r="O580" t="str" cm="1">
        <f t="array" ref="O580">_xlfn.IFS(J580="M","Medium", J580="L","Light", J580="D","Dark")</f>
        <v>Light</v>
      </c>
      <c r="P580" t="str">
        <f>_xlfn.XLOOKUP(orders!$C$2:$C$1001,customers!$A$2:$A$1001,customers!$I$2:$I$1001,,0)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IF(_xlfn.XLOOKUP(C581,customers!$A:$A,customers!$C:$C,,0)=0,"",_xlfn.XLOOKUP(C581,customers!$A:$A,customers!$C:$C,,0))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9"/>
        <v>33.75</v>
      </c>
      <c r="N581" t="s">
        <v>6199</v>
      </c>
      <c r="O581" t="str" cm="1">
        <f t="array" ref="O581">_xlfn.IFS(J581="M","Medium", J581="L","Light", J581="D","Dark")</f>
        <v>Medium</v>
      </c>
      <c r="P581" t="str">
        <f>_xlfn.XLOOKUP(orders!$C$2:$C$1001,customers!$A$2:$A$1001,customers!$I$2:$I$1001,,0)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IF(_xlfn.XLOOKUP(C582,customers!$A:$A,customers!$C:$C,,0)=0,"",_xlfn.XLOOKUP(C582,customers!$A:$A,customers!$C:$C,,0))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9"/>
        <v>44.55</v>
      </c>
      <c r="N582" t="s">
        <v>6198</v>
      </c>
      <c r="O582" t="str" cm="1">
        <f t="array" ref="O582">_xlfn.IFS(J582="M","Medium", J582="L","Light", J582="D","Dark")</f>
        <v>Light</v>
      </c>
      <c r="P582" t="str">
        <f>_xlfn.XLOOKUP(orders!$C$2:$C$1001,customers!$A$2:$A$1001,customers!$I$2:$I$1001,,0)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IF(_xlfn.XLOOKUP(C583,customers!$A:$A,customers!$C:$C,,0)=0,"",_xlfn.XLOOKUP(C583,customers!$A:$A,customers!$C:$C,,0))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9"/>
        <v>44.55</v>
      </c>
      <c r="N583" t="s">
        <v>6198</v>
      </c>
      <c r="O583" t="str" cm="1">
        <f t="array" ref="O583">_xlfn.IFS(J583="M","Medium", J583="L","Light", J583="D","Dark")</f>
        <v>Light</v>
      </c>
      <c r="P583" t="str">
        <f>_xlfn.XLOOKUP(orders!$C$2:$C$1001,customers!$A$2:$A$1001,customers!$I$2:$I$1001,,0)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IF(_xlfn.XLOOKUP(C584,customers!$A:$A,customers!$C:$C,,0)=0,"",_xlfn.XLOOKUP(C584,customers!$A:$A,customers!$C:$C,,0))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9"/>
        <v>60.75</v>
      </c>
      <c r="N584" t="s">
        <v>6198</v>
      </c>
      <c r="O584" t="str" cm="1">
        <f t="array" ref="O584">_xlfn.IFS(J584="M","Medium", J584="L","Light", J584="D","Dark")</f>
        <v>Dark</v>
      </c>
      <c r="P584" t="str">
        <f>_xlfn.XLOOKUP(orders!$C$2:$C$1001,customers!$A$2:$A$1001,customers!$I$2:$I$1001,,0)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IF(_xlfn.XLOOKUP(C585,customers!$A:$A,customers!$C:$C,,0)=0,"",_xlfn.XLOOKUP(C585,customers!$A:$A,customers!$C:$C,,0))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9"/>
        <v>3.5849999999999995</v>
      </c>
      <c r="N585" t="s">
        <v>6197</v>
      </c>
      <c r="O585" t="str" cm="1">
        <f t="array" ref="O585">_xlfn.IFS(J585="M","Medium", J585="L","Light", J585="D","Dark")</f>
        <v>Light</v>
      </c>
      <c r="P585" t="str">
        <f>_xlfn.XLOOKUP(orders!$C$2:$C$1001,customers!$A$2:$A$1001,customers!$I$2:$I$1001,,0)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IF(_xlfn.XLOOKUP(C586,customers!$A:$A,customers!$C:$C,,0)=0,"",_xlfn.XLOOKUP(C586,customers!$A:$A,customers!$C:$C,,0))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9"/>
        <v>21.509999999999998</v>
      </c>
      <c r="N586" t="s">
        <v>6197</v>
      </c>
      <c r="O586" t="str" cm="1">
        <f t="array" ref="O586">_xlfn.IFS(J586="M","Medium", J586="L","Light", J586="D","Dark")</f>
        <v>Light</v>
      </c>
      <c r="P586" t="str">
        <f>_xlfn.XLOOKUP(orders!$C$2:$C$1001,customers!$A$2:$A$1001,customers!$I$2:$I$1001,,0)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IF(_xlfn.XLOOKUP(C587,customers!$A:$A,customers!$C:$C,,0)=0,"",_xlfn.XLOOKUP(C587,customers!$A:$A,customers!$C:$C,,0))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9"/>
        <v>16.5</v>
      </c>
      <c r="N587" t="s">
        <v>6198</v>
      </c>
      <c r="O587" t="str" cm="1">
        <f t="array" ref="O587">_xlfn.IFS(J587="M","Medium", J587="L","Light", J587="D","Dark")</f>
        <v>Medium</v>
      </c>
      <c r="P587" t="str">
        <f>_xlfn.XLOOKUP(orders!$C$2:$C$1001,customers!$A$2:$A$1001,customers!$I$2:$I$1001,,0)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IF(_xlfn.XLOOKUP(C588,customers!$A:$A,customers!$C:$C,,0)=0,"",_xlfn.XLOOKUP(C588,customers!$A:$A,customers!$C:$C,,0))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9"/>
        <v>82.454999999999984</v>
      </c>
      <c r="N588" t="s">
        <v>6197</v>
      </c>
      <c r="O588" t="str" cm="1">
        <f t="array" ref="O588">_xlfn.IFS(J588="M","Medium", J588="L","Light", J588="D","Dark")</f>
        <v>Light</v>
      </c>
      <c r="P588" t="str">
        <f>_xlfn.XLOOKUP(orders!$C$2:$C$1001,customers!$A$2:$A$1001,customers!$I$2:$I$1001,,0)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IF(_xlfn.XLOOKUP(C589,customers!$A:$A,customers!$C:$C,,0)=0,"",_xlfn.XLOOKUP(C589,customers!$A:$A,customers!$C:$C,,0))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9"/>
        <v>7.77</v>
      </c>
      <c r="N589" t="s">
        <v>6200</v>
      </c>
      <c r="O589" t="str" cm="1">
        <f t="array" ref="O589">_xlfn.IFS(J589="M","Medium", J589="L","Light", J589="D","Dark")</f>
        <v>Dark</v>
      </c>
      <c r="P589" t="str">
        <f>_xlfn.XLOOKUP(orders!$C$2:$C$1001,customers!$A$2:$A$1001,customers!$I$2:$I$1001,,0)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IF(_xlfn.XLOOKUP(C590,customers!$A:$A,customers!$C:$C,,0)=0,"",_xlfn.XLOOKUP(C590,customers!$A:$A,customers!$C:$C,,0))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9"/>
        <v>11.94</v>
      </c>
      <c r="N590" t="s">
        <v>6197</v>
      </c>
      <c r="O590" t="str" cm="1">
        <f t="array" ref="O590">_xlfn.IFS(J590="M","Medium", J590="L","Light", J590="D","Dark")</f>
        <v>Medium</v>
      </c>
      <c r="P590" t="str">
        <f>_xlfn.XLOOKUP(orders!$C$2:$C$1001,customers!$A$2:$A$1001,customers!$I$2:$I$1001,,0)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IF(_xlfn.XLOOKUP(C591,customers!$A:$A,customers!$C:$C,,0)=0,"",_xlfn.XLOOKUP(C591,customers!$A:$A,customers!$C:$C,,0))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9"/>
        <v>204.92999999999995</v>
      </c>
      <c r="N591" t="s">
        <v>6198</v>
      </c>
      <c r="O591" t="str" cm="1">
        <f t="array" ref="O591">_xlfn.IFS(J591="M","Medium", J591="L","Light", J591="D","Dark")</f>
        <v>Light</v>
      </c>
      <c r="P591" t="str">
        <f>_xlfn.XLOOKUP(orders!$C$2:$C$1001,customers!$A$2:$A$1001,customers!$I$2:$I$1001,,0)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IF(_xlfn.XLOOKUP(C592,customers!$A:$A,customers!$C:$C,,0)=0,"",_xlfn.XLOOKUP(C592,customers!$A:$A,customers!$C:$C,,0))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9"/>
        <v>63.249999999999993</v>
      </c>
      <c r="N592" t="s">
        <v>6198</v>
      </c>
      <c r="O592" t="str" cm="1">
        <f t="array" ref="O592">_xlfn.IFS(J592="M","Medium", J592="L","Light", J592="D","Dark")</f>
        <v>Medium</v>
      </c>
      <c r="P592" t="str">
        <f>_xlfn.XLOOKUP(orders!$C$2:$C$1001,customers!$A$2:$A$1001,customers!$I$2:$I$1001,,0)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IF(_xlfn.XLOOKUP(C593,customers!$A:$A,customers!$C:$C,,0)=0,"",_xlfn.XLOOKUP(C593,customers!$A:$A,customers!$C:$C,,0))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9"/>
        <v>8.0549999999999997</v>
      </c>
      <c r="N593" t="s">
        <v>6197</v>
      </c>
      <c r="O593" t="str" cm="1">
        <f t="array" ref="O593">_xlfn.IFS(J593="M","Medium", J593="L","Light", J593="D","Dark")</f>
        <v>Dark</v>
      </c>
      <c r="P593" t="str">
        <f>_xlfn.XLOOKUP(orders!$C$2:$C$1001,customers!$A$2:$A$1001,customers!$I$2:$I$1001,,0)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IF(_xlfn.XLOOKUP(C594,customers!$A:$A,customers!$C:$C,,0)=0,"",_xlfn.XLOOKUP(C594,customers!$A:$A,customers!$C:$C,,0))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9"/>
        <v>51.749999999999993</v>
      </c>
      <c r="N594" t="s">
        <v>6199</v>
      </c>
      <c r="O594" t="str" cm="1">
        <f t="array" ref="O594">_xlfn.IFS(J594="M","Medium", J594="L","Light", J594="D","Dark")</f>
        <v>Medium</v>
      </c>
      <c r="P594" t="str">
        <f>_xlfn.XLOOKUP(orders!$C$2:$C$1001,customers!$A$2:$A$1001,customers!$I$2:$I$1001,,0)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IF(_xlfn.XLOOKUP(C595,customers!$A:$A,customers!$C:$C,,0)=0,"",_xlfn.XLOOKUP(C595,customers!$A:$A,customers!$C:$C,,0))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9"/>
        <v>27.945</v>
      </c>
      <c r="N595" t="s">
        <v>6198</v>
      </c>
      <c r="O595" t="str" cm="1">
        <f t="array" ref="O595">_xlfn.IFS(J595="M","Medium", J595="L","Light", J595="D","Dark")</f>
        <v>Dark</v>
      </c>
      <c r="P595" t="str">
        <f>_xlfn.XLOOKUP(orders!$C$2:$C$1001,customers!$A$2:$A$1001,customers!$I$2:$I$1001,,0)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IF(_xlfn.XLOOKUP(C596,customers!$A:$A,customers!$C:$C,,0)=0,"",_xlfn.XLOOKUP(C596,customers!$A:$A,customers!$C:$C,,0))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9"/>
        <v>59.569999999999993</v>
      </c>
      <c r="N596" t="s">
        <v>6199</v>
      </c>
      <c r="O596" t="str" cm="1">
        <f t="array" ref="O596">_xlfn.IFS(J596="M","Medium", J596="L","Light", J596="D","Dark")</f>
        <v>Light</v>
      </c>
      <c r="P596" t="str">
        <f>_xlfn.XLOOKUP(orders!$C$2:$C$1001,customers!$A$2:$A$1001,customers!$I$2:$I$1001,,0)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IF(_xlfn.XLOOKUP(C597,customers!$A:$A,customers!$C:$C,,0)=0,"",_xlfn.XLOOKUP(C597,customers!$A:$A,customers!$C:$C,,0))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9"/>
        <v>14.85</v>
      </c>
      <c r="N597" t="s">
        <v>6198</v>
      </c>
      <c r="O597" t="str" cm="1">
        <f t="array" ref="O597">_xlfn.IFS(J597="M","Medium", J597="L","Light", J597="D","Dark")</f>
        <v>Light</v>
      </c>
      <c r="P597" t="str">
        <f>_xlfn.XLOOKUP(orders!$C$2:$C$1001,customers!$A$2:$A$1001,customers!$I$2:$I$1001,,0)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IF(_xlfn.XLOOKUP(C598,customers!$A:$A,customers!$C:$C,,0)=0,"",_xlfn.XLOOKUP(C598,customers!$A:$A,customers!$C:$C,,0))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9"/>
        <v>33.75</v>
      </c>
      <c r="N598" t="s">
        <v>6199</v>
      </c>
      <c r="O598" t="str" cm="1">
        <f t="array" ref="O598">_xlfn.IFS(J598="M","Medium", J598="L","Light", J598="D","Dark")</f>
        <v>Medium</v>
      </c>
      <c r="P598" t="str">
        <f>_xlfn.XLOOKUP(orders!$C$2:$C$1001,customers!$A$2:$A$1001,customers!$I$2:$I$1001,,0)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IF(_xlfn.XLOOKUP(C599,customers!$A:$A,customers!$C:$C,,0)=0,"",_xlfn.XLOOKUP(C599,customers!$A:$A,customers!$C:$C,,0))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9"/>
        <v>145.82</v>
      </c>
      <c r="N599" t="s">
        <v>6200</v>
      </c>
      <c r="O599" t="str" cm="1">
        <f t="array" ref="O599">_xlfn.IFS(J599="M","Medium", J599="L","Light", J599="D","Dark")</f>
        <v>Light</v>
      </c>
      <c r="P599" t="str">
        <f>_xlfn.XLOOKUP(orders!$C$2:$C$1001,customers!$A$2:$A$1001,customers!$I$2:$I$1001,,0)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IF(_xlfn.XLOOKUP(C600,customers!$A:$A,customers!$C:$C,,0)=0,"",_xlfn.XLOOKUP(C600,customers!$A:$A,customers!$C:$C,,0))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9"/>
        <v>11.94</v>
      </c>
      <c r="N600" t="s">
        <v>6197</v>
      </c>
      <c r="O600" t="str" cm="1">
        <f t="array" ref="O600">_xlfn.IFS(J600="M","Medium", J600="L","Light", J600="D","Dark")</f>
        <v>Medium</v>
      </c>
      <c r="P600" t="str">
        <f>_xlfn.XLOOKUP(orders!$C$2:$C$1001,customers!$A$2:$A$1001,customers!$I$2:$I$1001,,0)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IF(_xlfn.XLOOKUP(C601,customers!$A:$A,customers!$C:$C,,0)=0,"",_xlfn.XLOOKUP(C601,customers!$A:$A,customers!$C:$C,,0))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9"/>
        <v>11.94</v>
      </c>
      <c r="N601" t="s">
        <v>6199</v>
      </c>
      <c r="O601" t="str" cm="1">
        <f t="array" ref="O601">_xlfn.IFS(J601="M","Medium", J601="L","Light", J601="D","Dark")</f>
        <v>Dark</v>
      </c>
      <c r="P601" t="str">
        <f>_xlfn.XLOOKUP(orders!$C$2:$C$1001,customers!$A$2:$A$1001,customers!$I$2:$I$1001,,0)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IF(_xlfn.XLOOKUP(C602,customers!$A:$A,customers!$C:$C,,0)=0,"",_xlfn.XLOOKUP(C602,customers!$A:$A,customers!$C:$C,,0))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9"/>
        <v>7.77</v>
      </c>
      <c r="N602" t="s">
        <v>6200</v>
      </c>
      <c r="O602" t="str" cm="1">
        <f t="array" ref="O602">_xlfn.IFS(J602="M","Medium", J602="L","Light", J602="D","Dark")</f>
        <v>Dark</v>
      </c>
      <c r="P602" t="str">
        <f>_xlfn.XLOOKUP(orders!$C$2:$C$1001,customers!$A$2:$A$1001,customers!$I$2:$I$1001,,0)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IF(_xlfn.XLOOKUP(C603,customers!$A:$A,customers!$C:$C,,0)=0,"",_xlfn.XLOOKUP(C603,customers!$A:$A,customers!$C:$C,,0))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9"/>
        <v>109.93999999999998</v>
      </c>
      <c r="N603" t="s">
        <v>6197</v>
      </c>
      <c r="O603" t="str" cm="1">
        <f t="array" ref="O603">_xlfn.IFS(J603="M","Medium", J603="L","Light", J603="D","Dark")</f>
        <v>Light</v>
      </c>
      <c r="P603" t="str">
        <f>_xlfn.XLOOKUP(orders!$C$2:$C$1001,customers!$A$2:$A$1001,customers!$I$2:$I$1001,,0)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IF(_xlfn.XLOOKUP(C604,customers!$A:$A,customers!$C:$C,,0)=0,"",_xlfn.XLOOKUP(C604,customers!$A:$A,customers!$C:$C,,0))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9"/>
        <v>22.274999999999999</v>
      </c>
      <c r="N604" t="s">
        <v>6198</v>
      </c>
      <c r="O604" t="str" cm="1">
        <f t="array" ref="O604">_xlfn.IFS(J604="M","Medium", J604="L","Light", J604="D","Dark")</f>
        <v>Light</v>
      </c>
      <c r="P604" t="str">
        <f>_xlfn.XLOOKUP(orders!$C$2:$C$1001,customers!$A$2:$A$1001,customers!$I$2:$I$1001,,0)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IF(_xlfn.XLOOKUP(C605,customers!$A:$A,customers!$C:$C,,0)=0,"",_xlfn.XLOOKUP(C605,customers!$A:$A,customers!$C:$C,,0))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9"/>
        <v>8.9550000000000001</v>
      </c>
      <c r="N605" t="s">
        <v>6197</v>
      </c>
      <c r="O605" t="str" cm="1">
        <f t="array" ref="O605">_xlfn.IFS(J605="M","Medium", J605="L","Light", J605="D","Dark")</f>
        <v>Medium</v>
      </c>
      <c r="P605" t="str">
        <f>_xlfn.XLOOKUP(orders!$C$2:$C$1001,customers!$A$2:$A$1001,customers!$I$2:$I$1001,,0)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IF(_xlfn.XLOOKUP(C606,customers!$A:$A,customers!$C:$C,,0)=0,"",_xlfn.XLOOKUP(C606,customers!$A:$A,customers!$C:$C,,0))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9"/>
        <v>119.13999999999999</v>
      </c>
      <c r="N606" t="s">
        <v>6200</v>
      </c>
      <c r="O606" t="str" cm="1">
        <f t="array" ref="O606">_xlfn.IFS(J606="M","Medium", J606="L","Light", J606="D","Dark")</f>
        <v>Dark</v>
      </c>
      <c r="P606" t="str">
        <f>_xlfn.XLOOKUP(orders!$C$2:$C$1001,customers!$A$2:$A$1001,customers!$I$2:$I$1001,,0)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IF(_xlfn.XLOOKUP(C607,customers!$A:$A,customers!$C:$C,,0)=0,"",_xlfn.XLOOKUP(C607,customers!$A:$A,customers!$C:$C,,0))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9"/>
        <v>148.92499999999998</v>
      </c>
      <c r="N607" t="s">
        <v>6199</v>
      </c>
      <c r="O607" t="str" cm="1">
        <f t="array" ref="O607">_xlfn.IFS(J607="M","Medium", J607="L","Light", J607="D","Dark")</f>
        <v>Light</v>
      </c>
      <c r="P607" t="str">
        <f>_xlfn.XLOOKUP(orders!$C$2:$C$1001,customers!$A$2:$A$1001,customers!$I$2:$I$1001,,0)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IF(_xlfn.XLOOKUP(C608,customers!$A:$A,customers!$C:$C,,0)=0,"",_xlfn.XLOOKUP(C608,customers!$A:$A,customers!$C:$C,,0))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9"/>
        <v>109.36499999999999</v>
      </c>
      <c r="N608" t="s">
        <v>6200</v>
      </c>
      <c r="O608" t="str" cm="1">
        <f t="array" ref="O608">_xlfn.IFS(J608="M","Medium", J608="L","Light", J608="D","Dark")</f>
        <v>Light</v>
      </c>
      <c r="P608" t="str">
        <f>_xlfn.XLOOKUP(orders!$C$2:$C$1001,customers!$A$2:$A$1001,customers!$I$2:$I$1001,,0)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IF(_xlfn.XLOOKUP(C609,customers!$A:$A,customers!$C:$C,,0)=0,"",_xlfn.XLOOKUP(C609,customers!$A:$A,customers!$C:$C,,0))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9"/>
        <v>3.645</v>
      </c>
      <c r="N609" t="s">
        <v>6198</v>
      </c>
      <c r="O609" t="str" cm="1">
        <f t="array" ref="O609">_xlfn.IFS(J609="M","Medium", J609="L","Light", J609="D","Dark")</f>
        <v>Dark</v>
      </c>
      <c r="P609" t="str">
        <f>_xlfn.XLOOKUP(orders!$C$2:$C$1001,customers!$A$2:$A$1001,customers!$I$2:$I$1001,,0)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IF(_xlfn.XLOOKUP(C610,customers!$A:$A,customers!$C:$C,,0)=0,"",_xlfn.XLOOKUP(C610,customers!$A:$A,customers!$C:$C,,0))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9"/>
        <v>55.89</v>
      </c>
      <c r="N610" t="s">
        <v>6198</v>
      </c>
      <c r="O610" t="str" cm="1">
        <f t="array" ref="O610">_xlfn.IFS(J610="M","Medium", J610="L","Light", J610="D","Dark")</f>
        <v>Dark</v>
      </c>
      <c r="P610" t="str">
        <f>_xlfn.XLOOKUP(orders!$C$2:$C$1001,customers!$A$2:$A$1001,customers!$I$2:$I$1001,,0)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IF(_xlfn.XLOOKUP(C611,customers!$A:$A,customers!$C:$C,,0)=0,"",_xlfn.XLOOKUP(C611,customers!$A:$A,customers!$C:$C,,0))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9"/>
        <v>26.19</v>
      </c>
      <c r="N611" t="s">
        <v>6200</v>
      </c>
      <c r="O611" t="str" cm="1">
        <f t="array" ref="O611">_xlfn.IFS(J611="M","Medium", J611="L","Light", J611="D","Dark")</f>
        <v>Medium</v>
      </c>
      <c r="P611" t="str">
        <f>_xlfn.XLOOKUP(orders!$C$2:$C$1001,customers!$A$2:$A$1001,customers!$I$2:$I$1001,,0)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IF(_xlfn.XLOOKUP(C612,customers!$A:$A,customers!$C:$C,,0)=0,"",_xlfn.XLOOKUP(C612,customers!$A:$A,customers!$C:$C,,0))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9"/>
        <v>39.799999999999997</v>
      </c>
      <c r="N612" t="s">
        <v>6197</v>
      </c>
      <c r="O612" t="str" cm="1">
        <f t="array" ref="O612">_xlfn.IFS(J612="M","Medium", J612="L","Light", J612="D","Dark")</f>
        <v>Medium</v>
      </c>
      <c r="P612" t="str">
        <f>_xlfn.XLOOKUP(orders!$C$2:$C$1001,customers!$A$2:$A$1001,customers!$I$2:$I$1001,,0)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IF(_xlfn.XLOOKUP(C613,customers!$A:$A,customers!$C:$C,,0)=0,"",_xlfn.XLOOKUP(C613,customers!$A:$A,customers!$C:$C,,0))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9"/>
        <v>68.309999999999988</v>
      </c>
      <c r="N613" t="s">
        <v>6198</v>
      </c>
      <c r="O613" t="str" cm="1">
        <f t="array" ref="O613">_xlfn.IFS(J613="M","Medium", J613="L","Light", J613="D","Dark")</f>
        <v>Light</v>
      </c>
      <c r="P613" t="str">
        <f>_xlfn.XLOOKUP(orders!$C$2:$C$1001,customers!$A$2:$A$1001,customers!$I$2:$I$1001,,0)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IF(_xlfn.XLOOKUP(C614,customers!$A:$A,customers!$C:$C,,0)=0,"",_xlfn.XLOOKUP(C614,customers!$A:$A,customers!$C:$C,,0))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9"/>
        <v>13.5</v>
      </c>
      <c r="N614" t="s">
        <v>6199</v>
      </c>
      <c r="O614" t="str" cm="1">
        <f t="array" ref="O614">_xlfn.IFS(J614="M","Medium", J614="L","Light", J614="D","Dark")</f>
        <v>Medium</v>
      </c>
      <c r="P614" t="str">
        <f>_xlfn.XLOOKUP(orders!$C$2:$C$1001,customers!$A$2:$A$1001,customers!$I$2:$I$1001,,0)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IF(_xlfn.XLOOKUP(C615,customers!$A:$A,customers!$C:$C,,0)=0,"",_xlfn.XLOOKUP(C615,customers!$A:$A,customers!$C:$C,,0))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9"/>
        <v>5.97</v>
      </c>
      <c r="N615" t="s">
        <v>6197</v>
      </c>
      <c r="O615" t="str" cm="1">
        <f t="array" ref="O615">_xlfn.IFS(J615="M","Medium", J615="L","Light", J615="D","Dark")</f>
        <v>Medium</v>
      </c>
      <c r="P615" t="str">
        <f>_xlfn.XLOOKUP(orders!$C$2:$C$1001,customers!$A$2:$A$1001,customers!$I$2:$I$1001,,0)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IF(_xlfn.XLOOKUP(C616,customers!$A:$A,customers!$C:$C,,0)=0,"",_xlfn.XLOOKUP(C616,customers!$A:$A,customers!$C:$C,,0))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9"/>
        <v>29.849999999999998</v>
      </c>
      <c r="N616" t="s">
        <v>6197</v>
      </c>
      <c r="O616" t="str" cm="1">
        <f t="array" ref="O616">_xlfn.IFS(J616="M","Medium", J616="L","Light", J616="D","Dark")</f>
        <v>Medium</v>
      </c>
      <c r="P616" t="str">
        <f>_xlfn.XLOOKUP(orders!$C$2:$C$1001,customers!$A$2:$A$1001,customers!$I$2:$I$1001,,0)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IF(_xlfn.XLOOKUP(C617,customers!$A:$A,customers!$C:$C,,0)=0,"",_xlfn.XLOOKUP(C617,customers!$A:$A,customers!$C:$C,,0))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9"/>
        <v>72.91</v>
      </c>
      <c r="N617" t="s">
        <v>6200</v>
      </c>
      <c r="O617" t="str" cm="1">
        <f t="array" ref="O617">_xlfn.IFS(J617="M","Medium", J617="L","Light", J617="D","Dark")</f>
        <v>Light</v>
      </c>
      <c r="P617" t="str">
        <f>_xlfn.XLOOKUP(orders!$C$2:$C$1001,customers!$A$2:$A$1001,customers!$I$2:$I$1001,,0)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IF(_xlfn.XLOOKUP(C618,customers!$A:$A,customers!$C:$C,,0)=0,"",_xlfn.XLOOKUP(C618,customers!$A:$A,customers!$C:$C,,0))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9"/>
        <v>126.49999999999999</v>
      </c>
      <c r="N618" t="s">
        <v>6198</v>
      </c>
      <c r="O618" t="str" cm="1">
        <f t="array" ref="O618">_xlfn.IFS(J618="M","Medium", J618="L","Light", J618="D","Dark")</f>
        <v>Medium</v>
      </c>
      <c r="P618" t="str">
        <f>_xlfn.XLOOKUP(orders!$C$2:$C$1001,customers!$A$2:$A$1001,customers!$I$2:$I$1001,,0)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IF(_xlfn.XLOOKUP(C619,customers!$A:$A,customers!$C:$C,,0)=0,"",_xlfn.XLOOKUP(C619,customers!$A:$A,customers!$C:$C,,0))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9"/>
        <v>33.464999999999996</v>
      </c>
      <c r="N619" t="s">
        <v>6200</v>
      </c>
      <c r="O619" t="str" cm="1">
        <f t="array" ref="O619">_xlfn.IFS(J619="M","Medium", J619="L","Light", J619="D","Dark")</f>
        <v>Medium</v>
      </c>
      <c r="P619" t="str">
        <f>_xlfn.XLOOKUP(orders!$C$2:$C$1001,customers!$A$2:$A$1001,customers!$I$2:$I$1001,,0)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IF(_xlfn.XLOOKUP(C620,customers!$A:$A,customers!$C:$C,,0)=0,"",_xlfn.XLOOKUP(C620,customers!$A:$A,customers!$C:$C,,0))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9"/>
        <v>72.900000000000006</v>
      </c>
      <c r="N620" t="s">
        <v>6198</v>
      </c>
      <c r="O620" t="str" cm="1">
        <f t="array" ref="O620">_xlfn.IFS(J620="M","Medium", J620="L","Light", J620="D","Dark")</f>
        <v>Dark</v>
      </c>
      <c r="P620" t="str">
        <f>_xlfn.XLOOKUP(orders!$C$2:$C$1001,customers!$A$2:$A$1001,customers!$I$2:$I$1001,,0)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IF(_xlfn.XLOOKUP(C621,customers!$A:$A,customers!$C:$C,,0)=0,"",_xlfn.XLOOKUP(C621,customers!$A:$A,customers!$C:$C,,0))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9"/>
        <v>15.54</v>
      </c>
      <c r="N621" t="s">
        <v>6200</v>
      </c>
      <c r="O621" t="str" cm="1">
        <f t="array" ref="O621">_xlfn.IFS(J621="M","Medium", J621="L","Light", J621="D","Dark")</f>
        <v>Dark</v>
      </c>
      <c r="P621" t="str">
        <f>_xlfn.XLOOKUP(orders!$C$2:$C$1001,customers!$A$2:$A$1001,customers!$I$2:$I$1001,,0)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IF(_xlfn.XLOOKUP(C622,customers!$A:$A,customers!$C:$C,,0)=0,"",_xlfn.XLOOKUP(C622,customers!$A:$A,customers!$C:$C,,0))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9"/>
        <v>20.25</v>
      </c>
      <c r="N622" t="s">
        <v>6199</v>
      </c>
      <c r="O622" t="str" cm="1">
        <f t="array" ref="O622">_xlfn.IFS(J622="M","Medium", J622="L","Light", J622="D","Dark")</f>
        <v>Medium</v>
      </c>
      <c r="P622" t="str">
        <f>_xlfn.XLOOKUP(orders!$C$2:$C$1001,customers!$A$2:$A$1001,customers!$I$2:$I$1001,,0)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IF(_xlfn.XLOOKUP(C623,customers!$A:$A,customers!$C:$C,,0)=0,"",_xlfn.XLOOKUP(C623,customers!$A:$A,customers!$C:$C,,0))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9"/>
        <v>77.699999999999989</v>
      </c>
      <c r="N623" t="s">
        <v>6199</v>
      </c>
      <c r="O623" t="str" cm="1">
        <f t="array" ref="O623">_xlfn.IFS(J623="M","Medium", J623="L","Light", J623="D","Dark")</f>
        <v>Light</v>
      </c>
      <c r="P623" t="str">
        <f>_xlfn.XLOOKUP(orders!$C$2:$C$1001,customers!$A$2:$A$1001,customers!$I$2:$I$1001,,0)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IF(_xlfn.XLOOKUP(C624,customers!$A:$A,customers!$C:$C,,0)=0,"",_xlfn.XLOOKUP(C624,customers!$A:$A,customers!$C:$C,,0))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9"/>
        <v>133.85999999999999</v>
      </c>
      <c r="N624" t="s">
        <v>6200</v>
      </c>
      <c r="O624" t="str" cm="1">
        <f t="array" ref="O624">_xlfn.IFS(J624="M","Medium", J624="L","Light", J624="D","Dark")</f>
        <v>Medium</v>
      </c>
      <c r="P624" t="str">
        <f>_xlfn.XLOOKUP(orders!$C$2:$C$1001,customers!$A$2:$A$1001,customers!$I$2:$I$1001,,0)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IF(_xlfn.XLOOKUP(C625,customers!$A:$A,customers!$C:$C,,0)=0,"",_xlfn.XLOOKUP(C625,customers!$A:$A,customers!$C:$C,,0))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9"/>
        <v>12.15</v>
      </c>
      <c r="N625" t="s">
        <v>6198</v>
      </c>
      <c r="O625" t="str" cm="1">
        <f t="array" ref="O625">_xlfn.IFS(J625="M","Medium", J625="L","Light", J625="D","Dark")</f>
        <v>Dark</v>
      </c>
      <c r="P625" t="str">
        <f>_xlfn.XLOOKUP(orders!$C$2:$C$1001,customers!$A$2:$A$1001,customers!$I$2:$I$1001,,0)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IF(_xlfn.XLOOKUP(C626,customers!$A:$A,customers!$C:$C,,0)=0,"",_xlfn.XLOOKUP(C626,customers!$A:$A,customers!$C:$C,,0))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9"/>
        <v>63.249999999999993</v>
      </c>
      <c r="N626" t="s">
        <v>6198</v>
      </c>
      <c r="O626" t="str" cm="1">
        <f t="array" ref="O626">_xlfn.IFS(J626="M","Medium", J626="L","Light", J626="D","Dark")</f>
        <v>Medium</v>
      </c>
      <c r="P626" t="str">
        <f>_xlfn.XLOOKUP(orders!$C$2:$C$1001,customers!$A$2:$A$1001,customers!$I$2:$I$1001,,0)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IF(_xlfn.XLOOKUP(C627,customers!$A:$A,customers!$C:$C,,0)=0,"",_xlfn.XLOOKUP(C627,customers!$A:$A,customers!$C:$C,,0))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9"/>
        <v>35.849999999999994</v>
      </c>
      <c r="N627" t="s">
        <v>6197</v>
      </c>
      <c r="O627" t="str" cm="1">
        <f t="array" ref="O627">_xlfn.IFS(J627="M","Medium", J627="L","Light", J627="D","Dark")</f>
        <v>Light</v>
      </c>
      <c r="P627" t="str">
        <f>_xlfn.XLOOKUP(orders!$C$2:$C$1001,customers!$A$2:$A$1001,customers!$I$2:$I$1001,,0)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IF(_xlfn.XLOOKUP(C628,customers!$A:$A,customers!$C:$C,,0)=0,"",_xlfn.XLOOKUP(C628,customers!$A:$A,customers!$C:$C,,0))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9"/>
        <v>77.624999999999986</v>
      </c>
      <c r="N628" t="s">
        <v>6199</v>
      </c>
      <c r="O628" t="str" cm="1">
        <f t="array" ref="O628">_xlfn.IFS(J628="M","Medium", J628="L","Light", J628="D","Dark")</f>
        <v>Medium</v>
      </c>
      <c r="P628" t="str">
        <f>_xlfn.XLOOKUP(orders!$C$2:$C$1001,customers!$A$2:$A$1001,customers!$I$2:$I$1001,,0)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IF(_xlfn.XLOOKUP(C629,customers!$A:$A,customers!$C:$C,,0)=0,"",_xlfn.XLOOKUP(C629,customers!$A:$A,customers!$C:$C,,0))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9"/>
        <v>63.249999999999993</v>
      </c>
      <c r="N629" t="s">
        <v>6198</v>
      </c>
      <c r="O629" t="str" cm="1">
        <f t="array" ref="O629">_xlfn.IFS(J629="M","Medium", J629="L","Light", J629="D","Dark")</f>
        <v>Medium</v>
      </c>
      <c r="P629" t="str">
        <f>_xlfn.XLOOKUP(orders!$C$2:$C$1001,customers!$A$2:$A$1001,customers!$I$2:$I$1001,,0)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IF(_xlfn.XLOOKUP(C630,customers!$A:$A,customers!$C:$C,,0)=0,"",_xlfn.XLOOKUP(C630,customers!$A:$A,customers!$C:$C,,0))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9"/>
        <v>26.73</v>
      </c>
      <c r="N630" t="s">
        <v>6198</v>
      </c>
      <c r="O630" t="str" cm="1">
        <f t="array" ref="O630">_xlfn.IFS(J630="M","Medium", J630="L","Light", J630="D","Dark")</f>
        <v>Light</v>
      </c>
      <c r="P630" t="str">
        <f>_xlfn.XLOOKUP(orders!$C$2:$C$1001,customers!$A$2:$A$1001,customers!$I$2:$I$1001,,0)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IF(_xlfn.XLOOKUP(C631,customers!$A:$A,customers!$C:$C,,0)=0,"",_xlfn.XLOOKUP(C631,customers!$A:$A,customers!$C:$C,,0))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9"/>
        <v>31.08</v>
      </c>
      <c r="N631" t="s">
        <v>6200</v>
      </c>
      <c r="O631" t="str" cm="1">
        <f t="array" ref="O631">_xlfn.IFS(J631="M","Medium", J631="L","Light", J631="D","Dark")</f>
        <v>Dark</v>
      </c>
      <c r="P631" t="str">
        <f>_xlfn.XLOOKUP(orders!$C$2:$C$1001,customers!$A$2:$A$1001,customers!$I$2:$I$1001,,0)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IF(_xlfn.XLOOKUP(C632,customers!$A:$A,customers!$C:$C,,0)=0,"",_xlfn.XLOOKUP(C632,customers!$A:$A,customers!$C:$C,,0))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9"/>
        <v>2.9849999999999999</v>
      </c>
      <c r="N632" t="s">
        <v>6199</v>
      </c>
      <c r="O632" t="str" cm="1">
        <f t="array" ref="O632">_xlfn.IFS(J632="M","Medium", J632="L","Light", J632="D","Dark")</f>
        <v>Dark</v>
      </c>
      <c r="P632" t="str">
        <f>_xlfn.XLOOKUP(orders!$C$2:$C$1001,customers!$A$2:$A$1001,customers!$I$2:$I$1001,,0)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IF(_xlfn.XLOOKUP(C633,customers!$A:$A,customers!$C:$C,,0)=0,"",_xlfn.XLOOKUP(C633,customers!$A:$A,customers!$C:$C,,0))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9"/>
        <v>102.92499999999998</v>
      </c>
      <c r="N633" t="s">
        <v>6197</v>
      </c>
      <c r="O633" t="str" cm="1">
        <f t="array" ref="O633">_xlfn.IFS(J633="M","Medium", J633="L","Light", J633="D","Dark")</f>
        <v>Dark</v>
      </c>
      <c r="P633" t="str">
        <f>_xlfn.XLOOKUP(orders!$C$2:$C$1001,customers!$A$2:$A$1001,customers!$I$2:$I$1001,,0)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IF(_xlfn.XLOOKUP(C634,customers!$A:$A,customers!$C:$C,,0)=0,"",_xlfn.XLOOKUP(C634,customers!$A:$A,customers!$C:$C,,0))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9"/>
        <v>35.64</v>
      </c>
      <c r="N634" t="s">
        <v>6198</v>
      </c>
      <c r="O634" t="str" cm="1">
        <f t="array" ref="O634">_xlfn.IFS(J634="M","Medium", J634="L","Light", J634="D","Dark")</f>
        <v>Light</v>
      </c>
      <c r="P634" t="str">
        <f>_xlfn.XLOOKUP(orders!$C$2:$C$1001,customers!$A$2:$A$1001,customers!$I$2:$I$1001,,0)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IF(_xlfn.XLOOKUP(C635,customers!$A:$A,customers!$C:$C,,0)=0,"",_xlfn.XLOOKUP(C635,customers!$A:$A,customers!$C:$C,,0))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9"/>
        <v>47.8</v>
      </c>
      <c r="N635" t="s">
        <v>6197</v>
      </c>
      <c r="O635" t="str" cm="1">
        <f t="array" ref="O635">_xlfn.IFS(J635="M","Medium", J635="L","Light", J635="D","Dark")</f>
        <v>Light</v>
      </c>
      <c r="P635" t="str">
        <f>_xlfn.XLOOKUP(orders!$C$2:$C$1001,customers!$A$2:$A$1001,customers!$I$2:$I$1001,,0)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IF(_xlfn.XLOOKUP(C636,customers!$A:$A,customers!$C:$C,,0)=0,"",_xlfn.XLOOKUP(C636,customers!$A:$A,customers!$C:$C,,0))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9"/>
        <v>43.650000000000006</v>
      </c>
      <c r="N636" t="s">
        <v>6200</v>
      </c>
      <c r="O636" t="str" cm="1">
        <f t="array" ref="O636">_xlfn.IFS(J636="M","Medium", J636="L","Light", J636="D","Dark")</f>
        <v>Medium</v>
      </c>
      <c r="P636" t="str">
        <f>_xlfn.XLOOKUP(orders!$C$2:$C$1001,customers!$A$2:$A$1001,customers!$I$2:$I$1001,,0)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IF(_xlfn.XLOOKUP(C637,customers!$A:$A,customers!$C:$C,,0)=0,"",_xlfn.XLOOKUP(C637,customers!$A:$A,customers!$C:$C,,0))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9"/>
        <v>35.64</v>
      </c>
      <c r="N637" t="s">
        <v>6198</v>
      </c>
      <c r="O637" t="str" cm="1">
        <f t="array" ref="O637">_xlfn.IFS(J637="M","Medium", J637="L","Light", J637="D","Dark")</f>
        <v>Light</v>
      </c>
      <c r="P637" t="str">
        <f>_xlfn.XLOOKUP(orders!$C$2:$C$1001,customers!$A$2:$A$1001,customers!$I$2:$I$1001,,0)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IF(_xlfn.XLOOKUP(C638,customers!$A:$A,customers!$C:$C,,0)=0,"",_xlfn.XLOOKUP(C638,customers!$A:$A,customers!$C:$C,,0))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9"/>
        <v>95.1</v>
      </c>
      <c r="N638" t="s">
        <v>6200</v>
      </c>
      <c r="O638" t="str" cm="1">
        <f t="array" ref="O638">_xlfn.IFS(J638="M","Medium", J638="L","Light", J638="D","Dark")</f>
        <v>Light</v>
      </c>
      <c r="P638" t="str">
        <f>_xlfn.XLOOKUP(orders!$C$2:$C$1001,customers!$A$2:$A$1001,customers!$I$2:$I$1001,,0)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IF(_xlfn.XLOOKUP(C639,customers!$A:$A,customers!$C:$C,,0)=0,"",_xlfn.XLOOKUP(C639,customers!$A:$A,customers!$C:$C,,0))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9"/>
        <v>31.624999999999996</v>
      </c>
      <c r="N639" t="s">
        <v>6198</v>
      </c>
      <c r="O639" t="str" cm="1">
        <f t="array" ref="O639">_xlfn.IFS(J639="M","Medium", J639="L","Light", J639="D","Dark")</f>
        <v>Medium</v>
      </c>
      <c r="P639" t="str">
        <f>_xlfn.XLOOKUP(orders!$C$2:$C$1001,customers!$A$2:$A$1001,customers!$I$2:$I$1001,,0)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IF(_xlfn.XLOOKUP(C640,customers!$A:$A,customers!$C:$C,,0)=0,"",_xlfn.XLOOKUP(C640,customers!$A:$A,customers!$C:$C,,0))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9"/>
        <v>77.624999999999986</v>
      </c>
      <c r="N640" t="s">
        <v>6199</v>
      </c>
      <c r="O640" t="str" cm="1">
        <f t="array" ref="O640">_xlfn.IFS(J640="M","Medium", J640="L","Light", J640="D","Dark")</f>
        <v>Medium</v>
      </c>
      <c r="P640" t="str">
        <f>_xlfn.XLOOKUP(orders!$C$2:$C$1001,customers!$A$2:$A$1001,customers!$I$2:$I$1001,,0)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IF(_xlfn.XLOOKUP(C641,customers!$A:$A,customers!$C:$C,,0)=0,"",_xlfn.XLOOKUP(C641,customers!$A:$A,customers!$C:$C,,0))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9"/>
        <v>3.8849999999999998</v>
      </c>
      <c r="N641" t="s">
        <v>6200</v>
      </c>
      <c r="O641" t="str" cm="1">
        <f t="array" ref="O641">_xlfn.IFS(J641="M","Medium", J641="L","Light", J641="D","Dark")</f>
        <v>Dark</v>
      </c>
      <c r="P641" t="str">
        <f>_xlfn.XLOOKUP(orders!$C$2:$C$1001,customers!$A$2:$A$1001,customers!$I$2:$I$1001,,0)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IF(_xlfn.XLOOKUP(C642,customers!$A:$A,customers!$C:$C,,0)=0,"",_xlfn.XLOOKUP(C642,customers!$A:$A,customers!$C:$C,,0))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9"/>
        <v>137.42499999999998</v>
      </c>
      <c r="N642" t="s">
        <v>6197</v>
      </c>
      <c r="O642" t="str" cm="1">
        <f t="array" ref="O642">_xlfn.IFS(J642="M","Medium", J642="L","Light", J642="D","Dark")</f>
        <v>Light</v>
      </c>
      <c r="P642" t="str">
        <f>_xlfn.XLOOKUP(orders!$C$2:$C$1001,customers!$A$2:$A$1001,customers!$I$2:$I$1001,,0)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IF(_xlfn.XLOOKUP(C643,customers!$A:$A,customers!$C:$C,,0)=0,"",_xlfn.XLOOKUP(C643,customers!$A:$A,customers!$C:$C,,0))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10">L643*E643</f>
        <v>35.849999999999994</v>
      </c>
      <c r="N643" t="s">
        <v>6197</v>
      </c>
      <c r="O643" t="str" cm="1">
        <f t="array" ref="O643">_xlfn.IFS(J643="M","Medium", J643="L","Light", J643="D","Dark")</f>
        <v>Light</v>
      </c>
      <c r="P643" t="str">
        <f>_xlfn.XLOOKUP(orders!$C$2:$C$1001,customers!$A$2:$A$1001,customers!$I$2:$I$1001,,0)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IF(_xlfn.XLOOKUP(C644,customers!$A:$A,customers!$C:$C,,0)=0,"",_xlfn.XLOOKUP(C644,customers!$A:$A,customers!$C:$C,,0))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10"/>
        <v>8.25</v>
      </c>
      <c r="N644" t="s">
        <v>6198</v>
      </c>
      <c r="O644" t="str" cm="1">
        <f t="array" ref="O644">_xlfn.IFS(J644="M","Medium", J644="L","Light", J644="D","Dark")</f>
        <v>Medium</v>
      </c>
      <c r="P644" t="str">
        <f>_xlfn.XLOOKUP(orders!$C$2:$C$1001,customers!$A$2:$A$1001,customers!$I$2:$I$1001,,0)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IF(_xlfn.XLOOKUP(C645,customers!$A:$A,customers!$C:$C,,0)=0,"",_xlfn.XLOOKUP(C645,customers!$A:$A,customers!$C:$C,,0))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10"/>
        <v>102.46499999999997</v>
      </c>
      <c r="N645" t="s">
        <v>6198</v>
      </c>
      <c r="O645" t="str" cm="1">
        <f t="array" ref="O645">_xlfn.IFS(J645="M","Medium", J645="L","Light", J645="D","Dark")</f>
        <v>Light</v>
      </c>
      <c r="P645" t="str">
        <f>_xlfn.XLOOKUP(orders!$C$2:$C$1001,customers!$A$2:$A$1001,customers!$I$2:$I$1001,,0)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IF(_xlfn.XLOOKUP(C646,customers!$A:$A,customers!$C:$C,,0)=0,"",_xlfn.XLOOKUP(C646,customers!$A:$A,customers!$C:$C,,0))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10"/>
        <v>41.169999999999995</v>
      </c>
      <c r="N646" t="s">
        <v>6197</v>
      </c>
      <c r="O646" t="str" cm="1">
        <f t="array" ref="O646">_xlfn.IFS(J646="M","Medium", J646="L","Light", J646="D","Dark")</f>
        <v>Dark</v>
      </c>
      <c r="P646" t="str">
        <f>_xlfn.XLOOKUP(orders!$C$2:$C$1001,customers!$A$2:$A$1001,customers!$I$2:$I$1001,,0)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IF(_xlfn.XLOOKUP(C647,customers!$A:$A,customers!$C:$C,,0)=0,"",_xlfn.XLOOKUP(C647,customers!$A:$A,customers!$C:$C,,0))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10"/>
        <v>68.655000000000001</v>
      </c>
      <c r="N647" t="s">
        <v>6199</v>
      </c>
      <c r="O647" t="str" cm="1">
        <f t="array" ref="O647">_xlfn.IFS(J647="M","Medium", J647="L","Light", J647="D","Dark")</f>
        <v>Dark</v>
      </c>
      <c r="P647" t="str">
        <f>_xlfn.XLOOKUP(orders!$C$2:$C$1001,customers!$A$2:$A$1001,customers!$I$2:$I$1001,,0)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IF(_xlfn.XLOOKUP(C648,customers!$A:$A,customers!$C:$C,,0)=0,"",_xlfn.XLOOKUP(C648,customers!$A:$A,customers!$C:$C,,0))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10"/>
        <v>9.9499999999999993</v>
      </c>
      <c r="N648" t="s">
        <v>6199</v>
      </c>
      <c r="O648" t="str" cm="1">
        <f t="array" ref="O648">_xlfn.IFS(J648="M","Medium", J648="L","Light", J648="D","Dark")</f>
        <v>Dark</v>
      </c>
      <c r="P648" t="str">
        <f>_xlfn.XLOOKUP(orders!$C$2:$C$1001,customers!$A$2:$A$1001,customers!$I$2:$I$1001,,0)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IF(_xlfn.XLOOKUP(C649,customers!$A:$A,customers!$C:$C,,0)=0,"",_xlfn.XLOOKUP(C649,customers!$A:$A,customers!$C:$C,,0))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10"/>
        <v>28.53</v>
      </c>
      <c r="N649" t="s">
        <v>6200</v>
      </c>
      <c r="O649" t="str" cm="1">
        <f t="array" ref="O649">_xlfn.IFS(J649="M","Medium", J649="L","Light", J649="D","Dark")</f>
        <v>Light</v>
      </c>
      <c r="P649" t="str">
        <f>_xlfn.XLOOKUP(orders!$C$2:$C$1001,customers!$A$2:$A$1001,customers!$I$2:$I$1001,,0)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IF(_xlfn.XLOOKUP(C650,customers!$A:$A,customers!$C:$C,,0)=0,"",_xlfn.XLOOKUP(C650,customers!$A:$A,customers!$C:$C,,0))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10"/>
        <v>16.11</v>
      </c>
      <c r="N650" t="s">
        <v>6197</v>
      </c>
      <c r="O650" t="str" cm="1">
        <f t="array" ref="O650">_xlfn.IFS(J650="M","Medium", J650="L","Light", J650="D","Dark")</f>
        <v>Dark</v>
      </c>
      <c r="P650" t="str">
        <f>_xlfn.XLOOKUP(orders!$C$2:$C$1001,customers!$A$2:$A$1001,customers!$I$2:$I$1001,,0)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IF(_xlfn.XLOOKUP(C651,customers!$A:$A,customers!$C:$C,,0)=0,"",_xlfn.XLOOKUP(C651,customers!$A:$A,customers!$C:$C,,0))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10"/>
        <v>95.1</v>
      </c>
      <c r="N651" t="s">
        <v>6200</v>
      </c>
      <c r="O651" t="str" cm="1">
        <f t="array" ref="O651">_xlfn.IFS(J651="M","Medium", J651="L","Light", J651="D","Dark")</f>
        <v>Light</v>
      </c>
      <c r="P651" t="str">
        <f>_xlfn.XLOOKUP(orders!$C$2:$C$1001,customers!$A$2:$A$1001,customers!$I$2:$I$1001,,0)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IF(_xlfn.XLOOKUP(C652,customers!$A:$A,customers!$C:$C,,0)=0,"",_xlfn.XLOOKUP(C652,customers!$A:$A,customers!$C:$C,,0))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10"/>
        <v>5.3699999999999992</v>
      </c>
      <c r="N652" t="s">
        <v>6197</v>
      </c>
      <c r="O652" t="str" cm="1">
        <f t="array" ref="O652">_xlfn.IFS(J652="M","Medium", J652="L","Light", J652="D","Dark")</f>
        <v>Dark</v>
      </c>
      <c r="P652" t="str">
        <f>_xlfn.XLOOKUP(orders!$C$2:$C$1001,customers!$A$2:$A$1001,customers!$I$2:$I$1001,,0)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IF(_xlfn.XLOOKUP(C653,customers!$A:$A,customers!$C:$C,,0)=0,"",_xlfn.XLOOKUP(C653,customers!$A:$A,customers!$C:$C,,0))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10"/>
        <v>47.8</v>
      </c>
      <c r="N653" t="s">
        <v>6197</v>
      </c>
      <c r="O653" t="str" cm="1">
        <f t="array" ref="O653">_xlfn.IFS(J653="M","Medium", J653="L","Light", J653="D","Dark")</f>
        <v>Light</v>
      </c>
      <c r="P653" t="str">
        <f>_xlfn.XLOOKUP(orders!$C$2:$C$1001,customers!$A$2:$A$1001,customers!$I$2:$I$1001,,0)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IF(_xlfn.XLOOKUP(C654,customers!$A:$A,customers!$C:$C,,0)=0,"",_xlfn.XLOOKUP(C654,customers!$A:$A,customers!$C:$C,,0))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10"/>
        <v>63.4</v>
      </c>
      <c r="N654" t="s">
        <v>6200</v>
      </c>
      <c r="O654" t="str" cm="1">
        <f t="array" ref="O654">_xlfn.IFS(J654="M","Medium", J654="L","Light", J654="D","Dark")</f>
        <v>Light</v>
      </c>
      <c r="P654" t="str">
        <f>_xlfn.XLOOKUP(orders!$C$2:$C$1001,customers!$A$2:$A$1001,customers!$I$2:$I$1001,,0)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IF(_xlfn.XLOOKUP(C655,customers!$A:$A,customers!$C:$C,,0)=0,"",_xlfn.XLOOKUP(C655,customers!$A:$A,customers!$C:$C,,0))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10"/>
        <v>103.49999999999999</v>
      </c>
      <c r="N655" t="s">
        <v>6199</v>
      </c>
      <c r="O655" t="str" cm="1">
        <f t="array" ref="O655">_xlfn.IFS(J655="M","Medium", J655="L","Light", J655="D","Dark")</f>
        <v>Medium</v>
      </c>
      <c r="P655" t="str">
        <f>_xlfn.XLOOKUP(orders!$C$2:$C$1001,customers!$A$2:$A$1001,customers!$I$2:$I$1001,,0)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IF(_xlfn.XLOOKUP(C656,customers!$A:$A,customers!$C:$C,,0)=0,"",_xlfn.XLOOKUP(C656,customers!$A:$A,customers!$C:$C,,0))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10"/>
        <v>68.655000000000001</v>
      </c>
      <c r="N656" t="s">
        <v>6199</v>
      </c>
      <c r="O656" t="str" cm="1">
        <f t="array" ref="O656">_xlfn.IFS(J656="M","Medium", J656="L","Light", J656="D","Dark")</f>
        <v>Dark</v>
      </c>
      <c r="P656" t="str">
        <f>_xlfn.XLOOKUP(orders!$C$2:$C$1001,customers!$A$2:$A$1001,customers!$I$2:$I$1001,,0)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IF(_xlfn.XLOOKUP(C657,customers!$A:$A,customers!$C:$C,,0)=0,"",_xlfn.XLOOKUP(C657,customers!$A:$A,customers!$C:$C,,0))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10"/>
        <v>45.769999999999996</v>
      </c>
      <c r="N657" t="s">
        <v>6197</v>
      </c>
      <c r="O657" t="str" cm="1">
        <f t="array" ref="O657">_xlfn.IFS(J657="M","Medium", J657="L","Light", J657="D","Dark")</f>
        <v>Medium</v>
      </c>
      <c r="P657" t="str">
        <f>_xlfn.XLOOKUP(orders!$C$2:$C$1001,customers!$A$2:$A$1001,customers!$I$2:$I$1001,,0)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IF(_xlfn.XLOOKUP(C658,customers!$A:$A,customers!$C:$C,,0)=0,"",_xlfn.XLOOKUP(C658,customers!$A:$A,customers!$C:$C,,0))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10"/>
        <v>51.8</v>
      </c>
      <c r="N658" t="s">
        <v>6200</v>
      </c>
      <c r="O658" t="str" cm="1">
        <f t="array" ref="O658">_xlfn.IFS(J658="M","Medium", J658="L","Light", J658="D","Dark")</f>
        <v>Dark</v>
      </c>
      <c r="P658" t="str">
        <f>_xlfn.XLOOKUP(orders!$C$2:$C$1001,customers!$A$2:$A$1001,customers!$I$2:$I$1001,,0)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IF(_xlfn.XLOOKUP(C659,customers!$A:$A,customers!$C:$C,,0)=0,"",_xlfn.XLOOKUP(C659,customers!$A:$A,customers!$C:$C,,0))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10"/>
        <v>13.5</v>
      </c>
      <c r="N659" t="s">
        <v>6199</v>
      </c>
      <c r="O659" t="str" cm="1">
        <f t="array" ref="O659">_xlfn.IFS(J659="M","Medium", J659="L","Light", J659="D","Dark")</f>
        <v>Medium</v>
      </c>
      <c r="P659" t="str">
        <f>_xlfn.XLOOKUP(orders!$C$2:$C$1001,customers!$A$2:$A$1001,customers!$I$2:$I$1001,,0)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IF(_xlfn.XLOOKUP(C660,customers!$A:$A,customers!$C:$C,,0)=0,"",_xlfn.XLOOKUP(C660,customers!$A:$A,customers!$C:$C,,0))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10"/>
        <v>24.75</v>
      </c>
      <c r="N660" t="s">
        <v>6198</v>
      </c>
      <c r="O660" t="str" cm="1">
        <f t="array" ref="O660">_xlfn.IFS(J660="M","Medium", J660="L","Light", J660="D","Dark")</f>
        <v>Medium</v>
      </c>
      <c r="P660" t="str">
        <f>_xlfn.XLOOKUP(orders!$C$2:$C$1001,customers!$A$2:$A$1001,customers!$I$2:$I$1001,,0)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IF(_xlfn.XLOOKUP(C661,customers!$A:$A,customers!$C:$C,,0)=0,"",_xlfn.XLOOKUP(C661,customers!$A:$A,customers!$C:$C,,0))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10"/>
        <v>45.769999999999996</v>
      </c>
      <c r="N661" t="s">
        <v>6199</v>
      </c>
      <c r="O661" t="str" cm="1">
        <f t="array" ref="O661">_xlfn.IFS(J661="M","Medium", J661="L","Light", J661="D","Dark")</f>
        <v>Dark</v>
      </c>
      <c r="P661" t="str">
        <f>_xlfn.XLOOKUP(orders!$C$2:$C$1001,customers!$A$2:$A$1001,customers!$I$2:$I$1001,,0)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IF(_xlfn.XLOOKUP(C662,customers!$A:$A,customers!$C:$C,,0)=0,"",_xlfn.XLOOKUP(C662,customers!$A:$A,customers!$C:$C,,0))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10"/>
        <v>53.46</v>
      </c>
      <c r="N662" t="s">
        <v>6198</v>
      </c>
      <c r="O662" t="str" cm="1">
        <f t="array" ref="O662">_xlfn.IFS(J662="M","Medium", J662="L","Light", J662="D","Dark")</f>
        <v>Light</v>
      </c>
      <c r="P662" t="str">
        <f>_xlfn.XLOOKUP(orders!$C$2:$C$1001,customers!$A$2:$A$1001,customers!$I$2:$I$1001,,0)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IF(_xlfn.XLOOKUP(C663,customers!$A:$A,customers!$C:$C,,0)=0,"",_xlfn.XLOOKUP(C663,customers!$A:$A,customers!$C:$C,,0))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10"/>
        <v>20.25</v>
      </c>
      <c r="N663" t="s">
        <v>6199</v>
      </c>
      <c r="O663" t="str" cm="1">
        <f t="array" ref="O663">_xlfn.IFS(J663="M","Medium", J663="L","Light", J663="D","Dark")</f>
        <v>Medium</v>
      </c>
      <c r="P663" t="str">
        <f>_xlfn.XLOOKUP(orders!$C$2:$C$1001,customers!$A$2:$A$1001,customers!$I$2:$I$1001,,0)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IF(_xlfn.XLOOKUP(C664,customers!$A:$A,customers!$C:$C,,0)=0,"",_xlfn.XLOOKUP(C664,customers!$A:$A,customers!$C:$C,,0))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10"/>
        <v>148.92499999999998</v>
      </c>
      <c r="N664" t="s">
        <v>6200</v>
      </c>
      <c r="O664" t="str" cm="1">
        <f t="array" ref="O664">_xlfn.IFS(J664="M","Medium", J664="L","Light", J664="D","Dark")</f>
        <v>Dark</v>
      </c>
      <c r="P664" t="str">
        <f>_xlfn.XLOOKUP(orders!$C$2:$C$1001,customers!$A$2:$A$1001,customers!$I$2:$I$1001,,0)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IF(_xlfn.XLOOKUP(C665,customers!$A:$A,customers!$C:$C,,0)=0,"",_xlfn.XLOOKUP(C665,customers!$A:$A,customers!$C:$C,,0))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10"/>
        <v>67.5</v>
      </c>
      <c r="N665" t="s">
        <v>6199</v>
      </c>
      <c r="O665" t="str" cm="1">
        <f t="array" ref="O665">_xlfn.IFS(J665="M","Medium", J665="L","Light", J665="D","Dark")</f>
        <v>Medium</v>
      </c>
      <c r="P665" t="str">
        <f>_xlfn.XLOOKUP(orders!$C$2:$C$1001,customers!$A$2:$A$1001,customers!$I$2:$I$1001,,0)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IF(_xlfn.XLOOKUP(C666,customers!$A:$A,customers!$C:$C,,0)=0,"",_xlfn.XLOOKUP(C666,customers!$A:$A,customers!$C:$C,,0))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10"/>
        <v>72.900000000000006</v>
      </c>
      <c r="N666" t="s">
        <v>6198</v>
      </c>
      <c r="O666" t="str" cm="1">
        <f t="array" ref="O666">_xlfn.IFS(J666="M","Medium", J666="L","Light", J666="D","Dark")</f>
        <v>Dark</v>
      </c>
      <c r="P666" t="str">
        <f>_xlfn.XLOOKUP(orders!$C$2:$C$1001,customers!$A$2:$A$1001,customers!$I$2:$I$1001,,0)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IF(_xlfn.XLOOKUP(C667,customers!$A:$A,customers!$C:$C,,0)=0,"",_xlfn.XLOOKUP(C667,customers!$A:$A,customers!$C:$C,,0))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10"/>
        <v>7.77</v>
      </c>
      <c r="N667" t="s">
        <v>6200</v>
      </c>
      <c r="O667" t="str" cm="1">
        <f t="array" ref="O667">_xlfn.IFS(J667="M","Medium", J667="L","Light", J667="D","Dark")</f>
        <v>Dark</v>
      </c>
      <c r="P667" t="str">
        <f>_xlfn.XLOOKUP(orders!$C$2:$C$1001,customers!$A$2:$A$1001,customers!$I$2:$I$1001,,0)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IF(_xlfn.XLOOKUP(C668,customers!$A:$A,customers!$C:$C,,0)=0,"",_xlfn.XLOOKUP(C668,customers!$A:$A,customers!$C:$C,,0))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10"/>
        <v>91.539999999999992</v>
      </c>
      <c r="N668" t="s">
        <v>6199</v>
      </c>
      <c r="O668" t="str" cm="1">
        <f t="array" ref="O668">_xlfn.IFS(J668="M","Medium", J668="L","Light", J668="D","Dark")</f>
        <v>Dark</v>
      </c>
      <c r="P668" t="str">
        <f>_xlfn.XLOOKUP(orders!$C$2:$C$1001,customers!$A$2:$A$1001,customers!$I$2:$I$1001,,0)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IF(_xlfn.XLOOKUP(C669,customers!$A:$A,customers!$C:$C,,0)=0,"",_xlfn.XLOOKUP(C669,customers!$A:$A,customers!$C:$C,,0))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10"/>
        <v>59.699999999999996</v>
      </c>
      <c r="N669" t="s">
        <v>6199</v>
      </c>
      <c r="O669" t="str" cm="1">
        <f t="array" ref="O669">_xlfn.IFS(J669="M","Medium", J669="L","Light", J669="D","Dark")</f>
        <v>Dark</v>
      </c>
      <c r="P669" t="str">
        <f>_xlfn.XLOOKUP(orders!$C$2:$C$1001,customers!$A$2:$A$1001,customers!$I$2:$I$1001,,0)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IF(_xlfn.XLOOKUP(C670,customers!$A:$A,customers!$C:$C,,0)=0,"",_xlfn.XLOOKUP(C670,customers!$A:$A,customers!$C:$C,,0))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10"/>
        <v>137.42499999999998</v>
      </c>
      <c r="N670" t="s">
        <v>6197</v>
      </c>
      <c r="O670" t="str" cm="1">
        <f t="array" ref="O670">_xlfn.IFS(J670="M","Medium", J670="L","Light", J670="D","Dark")</f>
        <v>Light</v>
      </c>
      <c r="P670" t="str">
        <f>_xlfn.XLOOKUP(orders!$C$2:$C$1001,customers!$A$2:$A$1001,customers!$I$2:$I$1001,,0)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IF(_xlfn.XLOOKUP(C671,customers!$A:$A,customers!$C:$C,,0)=0,"",_xlfn.XLOOKUP(C671,customers!$A:$A,customers!$C:$C,,0))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10"/>
        <v>66.929999999999993</v>
      </c>
      <c r="N671" t="s">
        <v>6200</v>
      </c>
      <c r="O671" t="str" cm="1">
        <f t="array" ref="O671">_xlfn.IFS(J671="M","Medium", J671="L","Light", J671="D","Dark")</f>
        <v>Medium</v>
      </c>
      <c r="P671" t="str">
        <f>_xlfn.XLOOKUP(orders!$C$2:$C$1001,customers!$A$2:$A$1001,customers!$I$2:$I$1001,,0)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IF(_xlfn.XLOOKUP(C672,customers!$A:$A,customers!$C:$C,,0)=0,"",_xlfn.XLOOKUP(C672,customers!$A:$A,customers!$C:$C,,0))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10"/>
        <v>13.095000000000001</v>
      </c>
      <c r="N672" t="s">
        <v>6200</v>
      </c>
      <c r="O672" t="str" cm="1">
        <f t="array" ref="O672">_xlfn.IFS(J672="M","Medium", J672="L","Light", J672="D","Dark")</f>
        <v>Medium</v>
      </c>
      <c r="P672" t="str">
        <f>_xlfn.XLOOKUP(orders!$C$2:$C$1001,customers!$A$2:$A$1001,customers!$I$2:$I$1001,,0)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IF(_xlfn.XLOOKUP(C673,customers!$A:$A,customers!$C:$C,,0)=0,"",_xlfn.XLOOKUP(C673,customers!$A:$A,customers!$C:$C,,0))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10"/>
        <v>59.75</v>
      </c>
      <c r="N673" t="s">
        <v>6197</v>
      </c>
      <c r="O673" t="str" cm="1">
        <f t="array" ref="O673">_xlfn.IFS(J673="M","Medium", J673="L","Light", J673="D","Dark")</f>
        <v>Light</v>
      </c>
      <c r="P673" t="str">
        <f>_xlfn.XLOOKUP(orders!$C$2:$C$1001,customers!$A$2:$A$1001,customers!$I$2:$I$1001,,0)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IF(_xlfn.XLOOKUP(C674,customers!$A:$A,customers!$C:$C,,0)=0,"",_xlfn.XLOOKUP(C674,customers!$A:$A,customers!$C:$C,,0))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10"/>
        <v>43.650000000000006</v>
      </c>
      <c r="N674" t="s">
        <v>6200</v>
      </c>
      <c r="O674" t="str" cm="1">
        <f t="array" ref="O674">_xlfn.IFS(J674="M","Medium", J674="L","Light", J674="D","Dark")</f>
        <v>Medium</v>
      </c>
      <c r="P674" t="str">
        <f>_xlfn.XLOOKUP(orders!$C$2:$C$1001,customers!$A$2:$A$1001,customers!$I$2:$I$1001,,0)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IF(_xlfn.XLOOKUP(C675,customers!$A:$A,customers!$C:$C,,0)=0,"",_xlfn.XLOOKUP(C675,customers!$A:$A,customers!$C:$C,,0))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10"/>
        <v>82.5</v>
      </c>
      <c r="N675" t="s">
        <v>6198</v>
      </c>
      <c r="O675" t="str" cm="1">
        <f t="array" ref="O675">_xlfn.IFS(J675="M","Medium", J675="L","Light", J675="D","Dark")</f>
        <v>Medium</v>
      </c>
      <c r="P675" t="str">
        <f>_xlfn.XLOOKUP(orders!$C$2:$C$1001,customers!$A$2:$A$1001,customers!$I$2:$I$1001,,0)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IF(_xlfn.XLOOKUP(C676,customers!$A:$A,customers!$C:$C,,0)=0,"",_xlfn.XLOOKUP(C676,customers!$A:$A,customers!$C:$C,,0))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10"/>
        <v>178.70999999999998</v>
      </c>
      <c r="N676" t="s">
        <v>6199</v>
      </c>
      <c r="O676" t="str" cm="1">
        <f t="array" ref="O676">_xlfn.IFS(J676="M","Medium", J676="L","Light", J676="D","Dark")</f>
        <v>Light</v>
      </c>
      <c r="P676" t="str">
        <f>_xlfn.XLOOKUP(orders!$C$2:$C$1001,customers!$A$2:$A$1001,customers!$I$2:$I$1001,,0)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IF(_xlfn.XLOOKUP(C677,customers!$A:$A,customers!$C:$C,,0)=0,"",_xlfn.XLOOKUP(C677,customers!$A:$A,customers!$C:$C,,0))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10"/>
        <v>119.13999999999999</v>
      </c>
      <c r="N677" t="s">
        <v>6200</v>
      </c>
      <c r="O677" t="str" cm="1">
        <f t="array" ref="O677">_xlfn.IFS(J677="M","Medium", J677="L","Light", J677="D","Dark")</f>
        <v>Dark</v>
      </c>
      <c r="P677" t="str">
        <f>_xlfn.XLOOKUP(orders!$C$2:$C$1001,customers!$A$2:$A$1001,customers!$I$2:$I$1001,,0)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IF(_xlfn.XLOOKUP(C678,customers!$A:$A,customers!$C:$C,,0)=0,"",_xlfn.XLOOKUP(C678,customers!$A:$A,customers!$C:$C,,0))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10"/>
        <v>47.55</v>
      </c>
      <c r="N678" t="s">
        <v>6200</v>
      </c>
      <c r="O678" t="str" cm="1">
        <f t="array" ref="O678">_xlfn.IFS(J678="M","Medium", J678="L","Light", J678="D","Dark")</f>
        <v>Light</v>
      </c>
      <c r="P678" t="str">
        <f>_xlfn.XLOOKUP(orders!$C$2:$C$1001,customers!$A$2:$A$1001,customers!$I$2:$I$1001,,0)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IF(_xlfn.XLOOKUP(C679,customers!$A:$A,customers!$C:$C,,0)=0,"",_xlfn.XLOOKUP(C679,customers!$A:$A,customers!$C:$C,,0))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10"/>
        <v>43.650000000000006</v>
      </c>
      <c r="N679" t="s">
        <v>6200</v>
      </c>
      <c r="O679" t="str" cm="1">
        <f t="array" ref="O679">_xlfn.IFS(J679="M","Medium", J679="L","Light", J679="D","Dark")</f>
        <v>Medium</v>
      </c>
      <c r="P679" t="str">
        <f>_xlfn.XLOOKUP(orders!$C$2:$C$1001,customers!$A$2:$A$1001,customers!$I$2:$I$1001,,0)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IF(_xlfn.XLOOKUP(C680,customers!$A:$A,customers!$C:$C,,0)=0,"",_xlfn.XLOOKUP(C680,customers!$A:$A,customers!$C:$C,,0))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10"/>
        <v>178.70999999999998</v>
      </c>
      <c r="N680" t="s">
        <v>6199</v>
      </c>
      <c r="O680" t="str" cm="1">
        <f t="array" ref="O680">_xlfn.IFS(J680="M","Medium", J680="L","Light", J680="D","Dark")</f>
        <v>Light</v>
      </c>
      <c r="P680" t="str">
        <f>_xlfn.XLOOKUP(orders!$C$2:$C$1001,customers!$A$2:$A$1001,customers!$I$2:$I$1001,,0)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IF(_xlfn.XLOOKUP(C681,customers!$A:$A,customers!$C:$C,,0)=0,"",_xlfn.XLOOKUP(C681,customers!$A:$A,customers!$C:$C,,0))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10"/>
        <v>27.484999999999996</v>
      </c>
      <c r="N681" t="s">
        <v>6197</v>
      </c>
      <c r="O681" t="str" cm="1">
        <f t="array" ref="O681">_xlfn.IFS(J681="M","Medium", J681="L","Light", J681="D","Dark")</f>
        <v>Light</v>
      </c>
      <c r="P681" t="str">
        <f>_xlfn.XLOOKUP(orders!$C$2:$C$1001,customers!$A$2:$A$1001,customers!$I$2:$I$1001,,0)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IF(_xlfn.XLOOKUP(C682,customers!$A:$A,customers!$C:$C,,0)=0,"",_xlfn.XLOOKUP(C682,customers!$A:$A,customers!$C:$C,,0))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10"/>
        <v>56.25</v>
      </c>
      <c r="N682" t="s">
        <v>6199</v>
      </c>
      <c r="O682" t="str" cm="1">
        <f t="array" ref="O682">_xlfn.IFS(J682="M","Medium", J682="L","Light", J682="D","Dark")</f>
        <v>Medium</v>
      </c>
      <c r="P682" t="str">
        <f>_xlfn.XLOOKUP(orders!$C$2:$C$1001,customers!$A$2:$A$1001,customers!$I$2:$I$1001,,0)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IF(_xlfn.XLOOKUP(C683,customers!$A:$A,customers!$C:$C,,0)=0,"",_xlfn.XLOOKUP(C683,customers!$A:$A,customers!$C:$C,,0))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10"/>
        <v>9.51</v>
      </c>
      <c r="N683" t="s">
        <v>6200</v>
      </c>
      <c r="O683" t="str" cm="1">
        <f t="array" ref="O683">_xlfn.IFS(J683="M","Medium", J683="L","Light", J683="D","Dark")</f>
        <v>Light</v>
      </c>
      <c r="P683" t="str">
        <f>_xlfn.XLOOKUP(orders!$C$2:$C$1001,customers!$A$2:$A$1001,customers!$I$2:$I$1001,,0)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IF(_xlfn.XLOOKUP(C684,customers!$A:$A,customers!$C:$C,,0)=0,"",_xlfn.XLOOKUP(C684,customers!$A:$A,customers!$C:$C,,0))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10"/>
        <v>8.25</v>
      </c>
      <c r="N684" t="s">
        <v>6198</v>
      </c>
      <c r="O684" t="str" cm="1">
        <f t="array" ref="O684">_xlfn.IFS(J684="M","Medium", J684="L","Light", J684="D","Dark")</f>
        <v>Medium</v>
      </c>
      <c r="P684" t="str">
        <f>_xlfn.XLOOKUP(orders!$C$2:$C$1001,customers!$A$2:$A$1001,customers!$I$2:$I$1001,,0)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IF(_xlfn.XLOOKUP(C685,customers!$A:$A,customers!$C:$C,,0)=0,"",_xlfn.XLOOKUP(C685,customers!$A:$A,customers!$C:$C,,0))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10"/>
        <v>46.62</v>
      </c>
      <c r="N685" t="s">
        <v>6200</v>
      </c>
      <c r="O685" t="str" cm="1">
        <f t="array" ref="O685">_xlfn.IFS(J685="M","Medium", J685="L","Light", J685="D","Dark")</f>
        <v>Dark</v>
      </c>
      <c r="P685" t="str">
        <f>_xlfn.XLOOKUP(orders!$C$2:$C$1001,customers!$A$2:$A$1001,customers!$I$2:$I$1001,,0)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IF(_xlfn.XLOOKUP(C686,customers!$A:$A,customers!$C:$C,,0)=0,"",_xlfn.XLOOKUP(C686,customers!$A:$A,customers!$C:$C,,0))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10"/>
        <v>71.699999999999989</v>
      </c>
      <c r="N686" t="s">
        <v>6197</v>
      </c>
      <c r="O686" t="str" cm="1">
        <f t="array" ref="O686">_xlfn.IFS(J686="M","Medium", J686="L","Light", J686="D","Dark")</f>
        <v>Light</v>
      </c>
      <c r="P686" t="str">
        <f>_xlfn.XLOOKUP(orders!$C$2:$C$1001,customers!$A$2:$A$1001,customers!$I$2:$I$1001,,0)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IF(_xlfn.XLOOKUP(C687,customers!$A:$A,customers!$C:$C,,0)=0,"",_xlfn.XLOOKUP(C687,customers!$A:$A,customers!$C:$C,,0))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10"/>
        <v>72.91</v>
      </c>
      <c r="N687" t="s">
        <v>6200</v>
      </c>
      <c r="O687" t="str" cm="1">
        <f t="array" ref="O687">_xlfn.IFS(J687="M","Medium", J687="L","Light", J687="D","Dark")</f>
        <v>Light</v>
      </c>
      <c r="P687" t="str">
        <f>_xlfn.XLOOKUP(orders!$C$2:$C$1001,customers!$A$2:$A$1001,customers!$I$2:$I$1001,,0)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IF(_xlfn.XLOOKUP(C688,customers!$A:$A,customers!$C:$C,,0)=0,"",_xlfn.XLOOKUP(C688,customers!$A:$A,customers!$C:$C,,0))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10"/>
        <v>8.0549999999999997</v>
      </c>
      <c r="N688" t="s">
        <v>6197</v>
      </c>
      <c r="O688" t="str" cm="1">
        <f t="array" ref="O688">_xlfn.IFS(J688="M","Medium", J688="L","Light", J688="D","Dark")</f>
        <v>Dark</v>
      </c>
      <c r="P688" t="str">
        <f>_xlfn.XLOOKUP(orders!$C$2:$C$1001,customers!$A$2:$A$1001,customers!$I$2:$I$1001,,0)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IF(_xlfn.XLOOKUP(C689,customers!$A:$A,customers!$C:$C,,0)=0,"",_xlfn.XLOOKUP(C689,customers!$A:$A,customers!$C:$C,,0))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10"/>
        <v>16.5</v>
      </c>
      <c r="N689" t="s">
        <v>6198</v>
      </c>
      <c r="O689" t="str" cm="1">
        <f t="array" ref="O689">_xlfn.IFS(J689="M","Medium", J689="L","Light", J689="D","Dark")</f>
        <v>Medium</v>
      </c>
      <c r="P689" t="str">
        <f>_xlfn.XLOOKUP(orders!$C$2:$C$1001,customers!$A$2:$A$1001,customers!$I$2:$I$1001,,0)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IF(_xlfn.XLOOKUP(C690,customers!$A:$A,customers!$C:$C,,0)=0,"",_xlfn.XLOOKUP(C690,customers!$A:$A,customers!$C:$C,,0))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10"/>
        <v>64.75</v>
      </c>
      <c r="N690" t="s">
        <v>6199</v>
      </c>
      <c r="O690" t="str" cm="1">
        <f t="array" ref="O690">_xlfn.IFS(J690="M","Medium", J690="L","Light", J690="D","Dark")</f>
        <v>Light</v>
      </c>
      <c r="P690" t="str">
        <f>_xlfn.XLOOKUP(orders!$C$2:$C$1001,customers!$A$2:$A$1001,customers!$I$2:$I$1001,,0)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IF(_xlfn.XLOOKUP(C691,customers!$A:$A,customers!$C:$C,,0)=0,"",_xlfn.XLOOKUP(C691,customers!$A:$A,customers!$C:$C,,0))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10"/>
        <v>33.75</v>
      </c>
      <c r="N691" t="s">
        <v>6199</v>
      </c>
      <c r="O691" t="str" cm="1">
        <f t="array" ref="O691">_xlfn.IFS(J691="M","Medium", J691="L","Light", J691="D","Dark")</f>
        <v>Medium</v>
      </c>
      <c r="P691" t="str">
        <f>_xlfn.XLOOKUP(orders!$C$2:$C$1001,customers!$A$2:$A$1001,customers!$I$2:$I$1001,,0)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IF(_xlfn.XLOOKUP(C692,customers!$A:$A,customers!$C:$C,,0)=0,"",_xlfn.XLOOKUP(C692,customers!$A:$A,customers!$C:$C,,0))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10"/>
        <v>178.70999999999998</v>
      </c>
      <c r="N692" t="s">
        <v>6200</v>
      </c>
      <c r="O692" t="str" cm="1">
        <f t="array" ref="O692">_xlfn.IFS(J692="M","Medium", J692="L","Light", J692="D","Dark")</f>
        <v>Dark</v>
      </c>
      <c r="P692" t="str">
        <f>_xlfn.XLOOKUP(orders!$C$2:$C$1001,customers!$A$2:$A$1001,customers!$I$2:$I$1001,,0)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IF(_xlfn.XLOOKUP(C693,customers!$A:$A,customers!$C:$C,,0)=0,"",_xlfn.XLOOKUP(C693,customers!$A:$A,customers!$C:$C,,0))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10"/>
        <v>22.5</v>
      </c>
      <c r="N693" t="s">
        <v>6199</v>
      </c>
      <c r="O693" t="str" cm="1">
        <f t="array" ref="O693">_xlfn.IFS(J693="M","Medium", J693="L","Light", J693="D","Dark")</f>
        <v>Medium</v>
      </c>
      <c r="P693" t="str">
        <f>_xlfn.XLOOKUP(orders!$C$2:$C$1001,customers!$A$2:$A$1001,customers!$I$2:$I$1001,,0)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IF(_xlfn.XLOOKUP(C694,customers!$A:$A,customers!$C:$C,,0)=0,"",_xlfn.XLOOKUP(C694,customers!$A:$A,customers!$C:$C,,0))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10"/>
        <v>12.95</v>
      </c>
      <c r="N694" t="s">
        <v>6200</v>
      </c>
      <c r="O694" t="str" cm="1">
        <f t="array" ref="O694">_xlfn.IFS(J694="M","Medium", J694="L","Light", J694="D","Dark")</f>
        <v>Dark</v>
      </c>
      <c r="P694" t="str">
        <f>_xlfn.XLOOKUP(orders!$C$2:$C$1001,customers!$A$2:$A$1001,customers!$I$2:$I$1001,,0)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IF(_xlfn.XLOOKUP(C695,customers!$A:$A,customers!$C:$C,,0)=0,"",_xlfn.XLOOKUP(C695,customers!$A:$A,customers!$C:$C,,0))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10"/>
        <v>51.749999999999993</v>
      </c>
      <c r="N695" t="s">
        <v>6199</v>
      </c>
      <c r="O695" t="str" cm="1">
        <f t="array" ref="O695">_xlfn.IFS(J695="M","Medium", J695="L","Light", J695="D","Dark")</f>
        <v>Medium</v>
      </c>
      <c r="P695" t="str">
        <f>_xlfn.XLOOKUP(orders!$C$2:$C$1001,customers!$A$2:$A$1001,customers!$I$2:$I$1001,,0)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IF(_xlfn.XLOOKUP(C696,customers!$A:$A,customers!$C:$C,,0)=0,"",_xlfn.XLOOKUP(C696,customers!$A:$A,customers!$C:$C,,0))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10"/>
        <v>36.450000000000003</v>
      </c>
      <c r="N696" t="s">
        <v>6198</v>
      </c>
      <c r="O696" t="str" cm="1">
        <f t="array" ref="O696">_xlfn.IFS(J696="M","Medium", J696="L","Light", J696="D","Dark")</f>
        <v>Dark</v>
      </c>
      <c r="P696" t="str">
        <f>_xlfn.XLOOKUP(orders!$C$2:$C$1001,customers!$A$2:$A$1001,customers!$I$2:$I$1001,,0)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IF(_xlfn.XLOOKUP(C697,customers!$A:$A,customers!$C:$C,,0)=0,"",_xlfn.XLOOKUP(C697,customers!$A:$A,customers!$C:$C,,0))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10"/>
        <v>182.27499999999998</v>
      </c>
      <c r="N697" t="s">
        <v>6200</v>
      </c>
      <c r="O697" t="str" cm="1">
        <f t="array" ref="O697">_xlfn.IFS(J697="M","Medium", J697="L","Light", J697="D","Dark")</f>
        <v>Light</v>
      </c>
      <c r="P697" t="str">
        <f>_xlfn.XLOOKUP(orders!$C$2:$C$1001,customers!$A$2:$A$1001,customers!$I$2:$I$1001,,0)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IF(_xlfn.XLOOKUP(C698,customers!$A:$A,customers!$C:$C,,0)=0,"",_xlfn.XLOOKUP(C698,customers!$A:$A,customers!$C:$C,,0))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10"/>
        <v>31.08</v>
      </c>
      <c r="N698" t="s">
        <v>6200</v>
      </c>
      <c r="O698" t="str" cm="1">
        <f t="array" ref="O698">_xlfn.IFS(J698="M","Medium", J698="L","Light", J698="D","Dark")</f>
        <v>Dark</v>
      </c>
      <c r="P698" t="str">
        <f>_xlfn.XLOOKUP(orders!$C$2:$C$1001,customers!$A$2:$A$1001,customers!$I$2:$I$1001,,0)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IF(_xlfn.XLOOKUP(C699,customers!$A:$A,customers!$C:$C,,0)=0,"",_xlfn.XLOOKUP(C699,customers!$A:$A,customers!$C:$C,,0))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10"/>
        <v>20.25</v>
      </c>
      <c r="N699" t="s">
        <v>6199</v>
      </c>
      <c r="O699" t="str" cm="1">
        <f t="array" ref="O699">_xlfn.IFS(J699="M","Medium", J699="L","Light", J699="D","Dark")</f>
        <v>Medium</v>
      </c>
      <c r="P699" t="str">
        <f>_xlfn.XLOOKUP(orders!$C$2:$C$1001,customers!$A$2:$A$1001,customers!$I$2:$I$1001,,0)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IF(_xlfn.XLOOKUP(C700,customers!$A:$A,customers!$C:$C,,0)=0,"",_xlfn.XLOOKUP(C700,customers!$A:$A,customers!$C:$C,,0))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10"/>
        <v>25.9</v>
      </c>
      <c r="N700" t="s">
        <v>6200</v>
      </c>
      <c r="O700" t="str" cm="1">
        <f t="array" ref="O700">_xlfn.IFS(J700="M","Medium", J700="L","Light", J700="D","Dark")</f>
        <v>Dark</v>
      </c>
      <c r="P700" t="str">
        <f>_xlfn.XLOOKUP(orders!$C$2:$C$1001,customers!$A$2:$A$1001,customers!$I$2:$I$1001,,0)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IF(_xlfn.XLOOKUP(C701,customers!$A:$A,customers!$C:$C,,0)=0,"",_xlfn.XLOOKUP(C701,customers!$A:$A,customers!$C:$C,,0))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10"/>
        <v>23.88</v>
      </c>
      <c r="N701" t="s">
        <v>6199</v>
      </c>
      <c r="O701" t="str" cm="1">
        <f t="array" ref="O701">_xlfn.IFS(J701="M","Medium", J701="L","Light", J701="D","Dark")</f>
        <v>Dark</v>
      </c>
      <c r="P701" t="str">
        <f>_xlfn.XLOOKUP(orders!$C$2:$C$1001,customers!$A$2:$A$1001,customers!$I$2:$I$1001,,0)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IF(_xlfn.XLOOKUP(C702,customers!$A:$A,customers!$C:$C,,0)=0,"",_xlfn.XLOOKUP(C702,customers!$A:$A,customers!$C:$C,,0))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10"/>
        <v>19.02</v>
      </c>
      <c r="N702" t="s">
        <v>6200</v>
      </c>
      <c r="O702" t="str" cm="1">
        <f t="array" ref="O702">_xlfn.IFS(J702="M","Medium", J702="L","Light", J702="D","Dark")</f>
        <v>Light</v>
      </c>
      <c r="P702" t="str">
        <f>_xlfn.XLOOKUP(orders!$C$2:$C$1001,customers!$A$2:$A$1001,customers!$I$2:$I$1001,,0)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IF(_xlfn.XLOOKUP(C703,customers!$A:$A,customers!$C:$C,,0)=0,"",_xlfn.XLOOKUP(C703,customers!$A:$A,customers!$C:$C,,0))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10"/>
        <v>29.849999999999998</v>
      </c>
      <c r="N703" t="s">
        <v>6199</v>
      </c>
      <c r="O703" t="str" cm="1">
        <f t="array" ref="O703">_xlfn.IFS(J703="M","Medium", J703="L","Light", J703="D","Dark")</f>
        <v>Dark</v>
      </c>
      <c r="P703" t="str">
        <f>_xlfn.XLOOKUP(orders!$C$2:$C$1001,customers!$A$2:$A$1001,customers!$I$2:$I$1001,,0)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IF(_xlfn.XLOOKUP(C704,customers!$A:$A,customers!$C:$C,,0)=0,"",_xlfn.XLOOKUP(C704,customers!$A:$A,customers!$C:$C,,0))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10"/>
        <v>7.77</v>
      </c>
      <c r="N704" t="s">
        <v>6199</v>
      </c>
      <c r="O704" t="str" cm="1">
        <f t="array" ref="O704">_xlfn.IFS(J704="M","Medium", J704="L","Light", J704="D","Dark")</f>
        <v>Light</v>
      </c>
      <c r="P704" t="str">
        <f>_xlfn.XLOOKUP(orders!$C$2:$C$1001,customers!$A$2:$A$1001,customers!$I$2:$I$1001,,0)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IF(_xlfn.XLOOKUP(C705,customers!$A:$A,customers!$C:$C,,0)=0,"",_xlfn.XLOOKUP(C705,customers!$A:$A,customers!$C:$C,,0))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10"/>
        <v>119.13999999999999</v>
      </c>
      <c r="N705" t="s">
        <v>6200</v>
      </c>
      <c r="O705" t="str" cm="1">
        <f t="array" ref="O705">_xlfn.IFS(J705="M","Medium", J705="L","Light", J705="D","Dark")</f>
        <v>Dark</v>
      </c>
      <c r="P705" t="str">
        <f>_xlfn.XLOOKUP(orders!$C$2:$C$1001,customers!$A$2:$A$1001,customers!$I$2:$I$1001,,0)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IF(_xlfn.XLOOKUP(C706,customers!$A:$A,customers!$C:$C,,0)=0,"",_xlfn.XLOOKUP(C706,customers!$A:$A,customers!$C:$C,,0))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10"/>
        <v>21.87</v>
      </c>
      <c r="N706" t="s">
        <v>6198</v>
      </c>
      <c r="O706" t="str" cm="1">
        <f t="array" ref="O706">_xlfn.IFS(J706="M","Medium", J706="L","Light", J706="D","Dark")</f>
        <v>Dark</v>
      </c>
      <c r="P706" t="str">
        <f>_xlfn.XLOOKUP(orders!$C$2:$C$1001,customers!$A$2:$A$1001,customers!$I$2:$I$1001,,0)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IF(_xlfn.XLOOKUP(C707,customers!$A:$A,customers!$C:$C,,0)=0,"",_xlfn.XLOOKUP(C707,customers!$A:$A,customers!$C:$C,,0))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11">L707*E707</f>
        <v>17.82</v>
      </c>
      <c r="N707" t="s">
        <v>6198</v>
      </c>
      <c r="O707" t="str" cm="1">
        <f t="array" ref="O707">_xlfn.IFS(J707="M","Medium", J707="L","Light", J707="D","Dark")</f>
        <v>Light</v>
      </c>
      <c r="P707" t="str">
        <f>_xlfn.XLOOKUP(orders!$C$2:$C$1001,customers!$A$2:$A$1001,customers!$I$2:$I$1001,,0)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IF(_xlfn.XLOOKUP(C708,customers!$A:$A,customers!$C:$C,,0)=0,"",_xlfn.XLOOKUP(C708,customers!$A:$A,customers!$C:$C,,0))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11"/>
        <v>12.375</v>
      </c>
      <c r="N708" t="s">
        <v>6198</v>
      </c>
      <c r="O708" t="str" cm="1">
        <f t="array" ref="O708">_xlfn.IFS(J708="M","Medium", J708="L","Light", J708="D","Dark")</f>
        <v>Medium</v>
      </c>
      <c r="P708" t="str">
        <f>_xlfn.XLOOKUP(orders!$C$2:$C$1001,customers!$A$2:$A$1001,customers!$I$2:$I$1001,,0)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IF(_xlfn.XLOOKUP(C709,customers!$A:$A,customers!$C:$C,,0)=0,"",_xlfn.XLOOKUP(C709,customers!$A:$A,customers!$C:$C,,0))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11"/>
        <v>25.9</v>
      </c>
      <c r="N709" t="s">
        <v>6200</v>
      </c>
      <c r="O709" t="str" cm="1">
        <f t="array" ref="O709">_xlfn.IFS(J709="M","Medium", J709="L","Light", J709="D","Dark")</f>
        <v>Dark</v>
      </c>
      <c r="P709" t="str">
        <f>_xlfn.XLOOKUP(orders!$C$2:$C$1001,customers!$A$2:$A$1001,customers!$I$2:$I$1001,,0)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IF(_xlfn.XLOOKUP(C710,customers!$A:$A,customers!$C:$C,,0)=0,"",_xlfn.XLOOKUP(C710,customers!$A:$A,customers!$C:$C,,0))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11"/>
        <v>13.5</v>
      </c>
      <c r="N710" t="s">
        <v>6199</v>
      </c>
      <c r="O710" t="str" cm="1">
        <f t="array" ref="O710">_xlfn.IFS(J710="M","Medium", J710="L","Light", J710="D","Dark")</f>
        <v>Medium</v>
      </c>
      <c r="P710" t="str">
        <f>_xlfn.XLOOKUP(orders!$C$2:$C$1001,customers!$A$2:$A$1001,customers!$I$2:$I$1001,,0)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IF(_xlfn.XLOOKUP(C711,customers!$A:$A,customers!$C:$C,,0)=0,"",_xlfn.XLOOKUP(C711,customers!$A:$A,customers!$C:$C,,0))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11"/>
        <v>17.82</v>
      </c>
      <c r="N711" t="s">
        <v>6198</v>
      </c>
      <c r="O711" t="str" cm="1">
        <f t="array" ref="O711">_xlfn.IFS(J711="M","Medium", J711="L","Light", J711="D","Dark")</f>
        <v>Light</v>
      </c>
      <c r="P711" t="str">
        <f>_xlfn.XLOOKUP(orders!$C$2:$C$1001,customers!$A$2:$A$1001,customers!$I$2:$I$1001,,0)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IF(_xlfn.XLOOKUP(C712,customers!$A:$A,customers!$C:$C,,0)=0,"",_xlfn.XLOOKUP(C712,customers!$A:$A,customers!$C:$C,,0))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11"/>
        <v>24.75</v>
      </c>
      <c r="N712" t="s">
        <v>6198</v>
      </c>
      <c r="O712" t="str" cm="1">
        <f t="array" ref="O712">_xlfn.IFS(J712="M","Medium", J712="L","Light", J712="D","Dark")</f>
        <v>Medium</v>
      </c>
      <c r="P712" t="str">
        <f>_xlfn.XLOOKUP(orders!$C$2:$C$1001,customers!$A$2:$A$1001,customers!$I$2:$I$1001,,0)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IF(_xlfn.XLOOKUP(C713,customers!$A:$A,customers!$C:$C,,0)=0,"",_xlfn.XLOOKUP(C713,customers!$A:$A,customers!$C:$C,,0))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11"/>
        <v>17.91</v>
      </c>
      <c r="N713" t="s">
        <v>6197</v>
      </c>
      <c r="O713" t="str" cm="1">
        <f t="array" ref="O713">_xlfn.IFS(J713="M","Medium", J713="L","Light", J713="D","Dark")</f>
        <v>Medium</v>
      </c>
      <c r="P713" t="str">
        <f>_xlfn.XLOOKUP(orders!$C$2:$C$1001,customers!$A$2:$A$1001,customers!$I$2:$I$1001,,0)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IF(_xlfn.XLOOKUP(C714,customers!$A:$A,customers!$C:$C,,0)=0,"",_xlfn.XLOOKUP(C714,customers!$A:$A,customers!$C:$C,,0))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11"/>
        <v>16.5</v>
      </c>
      <c r="N714" t="s">
        <v>6198</v>
      </c>
      <c r="O714" t="str" cm="1">
        <f t="array" ref="O714">_xlfn.IFS(J714="M","Medium", J714="L","Light", J714="D","Dark")</f>
        <v>Medium</v>
      </c>
      <c r="P714" t="str">
        <f>_xlfn.XLOOKUP(orders!$C$2:$C$1001,customers!$A$2:$A$1001,customers!$I$2:$I$1001,,0)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IF(_xlfn.XLOOKUP(C715,customers!$A:$A,customers!$C:$C,,0)=0,"",_xlfn.XLOOKUP(C715,customers!$A:$A,customers!$C:$C,,0))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11"/>
        <v>2.9849999999999999</v>
      </c>
      <c r="N715" t="s">
        <v>6197</v>
      </c>
      <c r="O715" t="str" cm="1">
        <f t="array" ref="O715">_xlfn.IFS(J715="M","Medium", J715="L","Light", J715="D","Dark")</f>
        <v>Medium</v>
      </c>
      <c r="P715" t="str">
        <f>_xlfn.XLOOKUP(orders!$C$2:$C$1001,customers!$A$2:$A$1001,customers!$I$2:$I$1001,,0)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IF(_xlfn.XLOOKUP(C716,customers!$A:$A,customers!$C:$C,,0)=0,"",_xlfn.XLOOKUP(C716,customers!$A:$A,customers!$C:$C,,0))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11"/>
        <v>14.58</v>
      </c>
      <c r="N716" t="s">
        <v>6198</v>
      </c>
      <c r="O716" t="str" cm="1">
        <f t="array" ref="O716">_xlfn.IFS(J716="M","Medium", J716="L","Light", J716="D","Dark")</f>
        <v>Dark</v>
      </c>
      <c r="P716" t="str">
        <f>_xlfn.XLOOKUP(orders!$C$2:$C$1001,customers!$A$2:$A$1001,customers!$I$2:$I$1001,,0)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IF(_xlfn.XLOOKUP(C717,customers!$A:$A,customers!$C:$C,,0)=0,"",_xlfn.XLOOKUP(C717,customers!$A:$A,customers!$C:$C,,0))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11"/>
        <v>89.1</v>
      </c>
      <c r="N717" t="s">
        <v>6198</v>
      </c>
      <c r="O717" t="str" cm="1">
        <f t="array" ref="O717">_xlfn.IFS(J717="M","Medium", J717="L","Light", J717="D","Dark")</f>
        <v>Light</v>
      </c>
      <c r="P717" t="str">
        <f>_xlfn.XLOOKUP(orders!$C$2:$C$1001,customers!$A$2:$A$1001,customers!$I$2:$I$1001,,0)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IF(_xlfn.XLOOKUP(C718,customers!$A:$A,customers!$C:$C,,0)=0,"",_xlfn.XLOOKUP(C718,customers!$A:$A,customers!$C:$C,,0))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11"/>
        <v>35.849999999999994</v>
      </c>
      <c r="N718" t="s">
        <v>6197</v>
      </c>
      <c r="O718" t="str" cm="1">
        <f t="array" ref="O718">_xlfn.IFS(J718="M","Medium", J718="L","Light", J718="D","Dark")</f>
        <v>Light</v>
      </c>
      <c r="P718" t="str">
        <f>_xlfn.XLOOKUP(orders!$C$2:$C$1001,customers!$A$2:$A$1001,customers!$I$2:$I$1001,,0)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IF(_xlfn.XLOOKUP(C719,customers!$A:$A,customers!$C:$C,,0)=0,"",_xlfn.XLOOKUP(C719,customers!$A:$A,customers!$C:$C,,0))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11"/>
        <v>68.655000000000001</v>
      </c>
      <c r="N719" t="s">
        <v>6199</v>
      </c>
      <c r="O719" t="str" cm="1">
        <f t="array" ref="O719">_xlfn.IFS(J719="M","Medium", J719="L","Light", J719="D","Dark")</f>
        <v>Dark</v>
      </c>
      <c r="P719" t="str">
        <f>_xlfn.XLOOKUP(orders!$C$2:$C$1001,customers!$A$2:$A$1001,customers!$I$2:$I$1001,,0)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IF(_xlfn.XLOOKUP(C720,customers!$A:$A,customers!$C:$C,,0)=0,"",_xlfn.XLOOKUP(C720,customers!$A:$A,customers!$C:$C,,0))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11"/>
        <v>38.849999999999994</v>
      </c>
      <c r="N720" t="s">
        <v>6200</v>
      </c>
      <c r="O720" t="str" cm="1">
        <f t="array" ref="O720">_xlfn.IFS(J720="M","Medium", J720="L","Light", J720="D","Dark")</f>
        <v>Dark</v>
      </c>
      <c r="P720" t="str">
        <f>_xlfn.XLOOKUP(orders!$C$2:$C$1001,customers!$A$2:$A$1001,customers!$I$2:$I$1001,,0)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IF(_xlfn.XLOOKUP(C721,customers!$A:$A,customers!$C:$C,,0)=0,"",_xlfn.XLOOKUP(C721,customers!$A:$A,customers!$C:$C,,0))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11"/>
        <v>79.25</v>
      </c>
      <c r="N721" t="s">
        <v>6200</v>
      </c>
      <c r="O721" t="str" cm="1">
        <f t="array" ref="O721">_xlfn.IFS(J721="M","Medium", J721="L","Light", J721="D","Dark")</f>
        <v>Light</v>
      </c>
      <c r="P721" t="str">
        <f>_xlfn.XLOOKUP(orders!$C$2:$C$1001,customers!$A$2:$A$1001,customers!$I$2:$I$1001,,0)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IF(_xlfn.XLOOKUP(C722,customers!$A:$A,customers!$C:$C,,0)=0,"",_xlfn.XLOOKUP(C722,customers!$A:$A,customers!$C:$C,,0))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11"/>
        <v>36.450000000000003</v>
      </c>
      <c r="N722" t="s">
        <v>6198</v>
      </c>
      <c r="O722" t="str" cm="1">
        <f t="array" ref="O722">_xlfn.IFS(J722="M","Medium", J722="L","Light", J722="D","Dark")</f>
        <v>Dark</v>
      </c>
      <c r="P722" t="str">
        <f>_xlfn.XLOOKUP(orders!$C$2:$C$1001,customers!$A$2:$A$1001,customers!$I$2:$I$1001,,0)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IF(_xlfn.XLOOKUP(C723,customers!$A:$A,customers!$C:$C,,0)=0,"",_xlfn.XLOOKUP(C723,customers!$A:$A,customers!$C:$C,,0))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11"/>
        <v>8.9550000000000001</v>
      </c>
      <c r="N723" t="s">
        <v>6197</v>
      </c>
      <c r="O723" t="str" cm="1">
        <f t="array" ref="O723">_xlfn.IFS(J723="M","Medium", J723="L","Light", J723="D","Dark")</f>
        <v>Medium</v>
      </c>
      <c r="P723" t="str">
        <f>_xlfn.XLOOKUP(orders!$C$2:$C$1001,customers!$A$2:$A$1001,customers!$I$2:$I$1001,,0)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IF(_xlfn.XLOOKUP(C724,customers!$A:$A,customers!$C:$C,,0)=0,"",_xlfn.XLOOKUP(C724,customers!$A:$A,customers!$C:$C,,0))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11"/>
        <v>24.3</v>
      </c>
      <c r="N724" t="s">
        <v>6198</v>
      </c>
      <c r="O724" t="str" cm="1">
        <f t="array" ref="O724">_xlfn.IFS(J724="M","Medium", J724="L","Light", J724="D","Dark")</f>
        <v>Dark</v>
      </c>
      <c r="P724" t="str">
        <f>_xlfn.XLOOKUP(orders!$C$2:$C$1001,customers!$A$2:$A$1001,customers!$I$2:$I$1001,,0)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IF(_xlfn.XLOOKUP(C725,customers!$A:$A,customers!$C:$C,,0)=0,"",_xlfn.XLOOKUP(C725,customers!$A:$A,customers!$C:$C,,0))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11"/>
        <v>63.249999999999993</v>
      </c>
      <c r="N725" t="s">
        <v>6198</v>
      </c>
      <c r="O725" t="str" cm="1">
        <f t="array" ref="O725">_xlfn.IFS(J725="M","Medium", J725="L","Light", J725="D","Dark")</f>
        <v>Medium</v>
      </c>
      <c r="P725" t="str">
        <f>_xlfn.XLOOKUP(orders!$C$2:$C$1001,customers!$A$2:$A$1001,customers!$I$2:$I$1001,,0)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IF(_xlfn.XLOOKUP(C726,customers!$A:$A,customers!$C:$C,,0)=0,"",_xlfn.XLOOKUP(C726,customers!$A:$A,customers!$C:$C,,0))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11"/>
        <v>6.75</v>
      </c>
      <c r="N726" t="s">
        <v>6199</v>
      </c>
      <c r="O726" t="str" cm="1">
        <f t="array" ref="O726">_xlfn.IFS(J726="M","Medium", J726="L","Light", J726="D","Dark")</f>
        <v>Medium</v>
      </c>
      <c r="P726" t="str">
        <f>_xlfn.XLOOKUP(orders!$C$2:$C$1001,customers!$A$2:$A$1001,customers!$I$2:$I$1001,,0)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IF(_xlfn.XLOOKUP(C727,customers!$A:$A,customers!$C:$C,,0)=0,"",_xlfn.XLOOKUP(C727,customers!$A:$A,customers!$C:$C,,0))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11"/>
        <v>23.31</v>
      </c>
      <c r="N727" t="s">
        <v>6199</v>
      </c>
      <c r="O727" t="str" cm="1">
        <f t="array" ref="O727">_xlfn.IFS(J727="M","Medium", J727="L","Light", J727="D","Dark")</f>
        <v>Light</v>
      </c>
      <c r="P727" t="str">
        <f>_xlfn.XLOOKUP(orders!$C$2:$C$1001,customers!$A$2:$A$1001,customers!$I$2:$I$1001,,0)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IF(_xlfn.XLOOKUP(C728,customers!$A:$A,customers!$C:$C,,0)=0,"",_xlfn.XLOOKUP(C728,customers!$A:$A,customers!$C:$C,,0))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11"/>
        <v>145.82</v>
      </c>
      <c r="N728" t="s">
        <v>6200</v>
      </c>
      <c r="O728" t="str" cm="1">
        <f t="array" ref="O728">_xlfn.IFS(J728="M","Medium", J728="L","Light", J728="D","Dark")</f>
        <v>Light</v>
      </c>
      <c r="P728" t="str">
        <f>_xlfn.XLOOKUP(orders!$C$2:$C$1001,customers!$A$2:$A$1001,customers!$I$2:$I$1001,,0)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IF(_xlfn.XLOOKUP(C729,customers!$A:$A,customers!$C:$C,,0)=0,"",_xlfn.XLOOKUP(C729,customers!$A:$A,customers!$C:$C,,0))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11"/>
        <v>29.849999999999998</v>
      </c>
      <c r="N729" t="s">
        <v>6197</v>
      </c>
      <c r="O729" t="str" cm="1">
        <f t="array" ref="O729">_xlfn.IFS(J729="M","Medium", J729="L","Light", J729="D","Dark")</f>
        <v>Medium</v>
      </c>
      <c r="P729" t="str">
        <f>_xlfn.XLOOKUP(orders!$C$2:$C$1001,customers!$A$2:$A$1001,customers!$I$2:$I$1001,,0)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IF(_xlfn.XLOOKUP(C730,customers!$A:$A,customers!$C:$C,,0)=0,"",_xlfn.XLOOKUP(C730,customers!$A:$A,customers!$C:$C,,0))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11"/>
        <v>21.87</v>
      </c>
      <c r="N730" t="s">
        <v>6198</v>
      </c>
      <c r="O730" t="str" cm="1">
        <f t="array" ref="O730">_xlfn.IFS(J730="M","Medium", J730="L","Light", J730="D","Dark")</f>
        <v>Dark</v>
      </c>
      <c r="P730" t="str">
        <f>_xlfn.XLOOKUP(orders!$C$2:$C$1001,customers!$A$2:$A$1001,customers!$I$2:$I$1001,,0)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IF(_xlfn.XLOOKUP(C731,customers!$A:$A,customers!$C:$C,,0)=0,"",_xlfn.XLOOKUP(C731,customers!$A:$A,customers!$C:$C,,0))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11"/>
        <v>4.3650000000000002</v>
      </c>
      <c r="N731" t="s">
        <v>6200</v>
      </c>
      <c r="O731" t="str" cm="1">
        <f t="array" ref="O731">_xlfn.IFS(J731="M","Medium", J731="L","Light", J731="D","Dark")</f>
        <v>Medium</v>
      </c>
      <c r="P731" t="str">
        <f>_xlfn.XLOOKUP(orders!$C$2:$C$1001,customers!$A$2:$A$1001,customers!$I$2:$I$1001,,0)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IF(_xlfn.XLOOKUP(C732,customers!$A:$A,customers!$C:$C,,0)=0,"",_xlfn.XLOOKUP(C732,customers!$A:$A,customers!$C:$C,,0))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11"/>
        <v>36.454999999999998</v>
      </c>
      <c r="N732" t="s">
        <v>6200</v>
      </c>
      <c r="O732" t="str" cm="1">
        <f t="array" ref="O732">_xlfn.IFS(J732="M","Medium", J732="L","Light", J732="D","Dark")</f>
        <v>Light</v>
      </c>
      <c r="P732" t="str">
        <f>_xlfn.XLOOKUP(orders!$C$2:$C$1001,customers!$A$2:$A$1001,customers!$I$2:$I$1001,,0)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IF(_xlfn.XLOOKUP(C733,customers!$A:$A,customers!$C:$C,,0)=0,"",_xlfn.XLOOKUP(C733,customers!$A:$A,customers!$C:$C,,0))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11"/>
        <v>15.54</v>
      </c>
      <c r="N733" t="s">
        <v>6200</v>
      </c>
      <c r="O733" t="str" cm="1">
        <f t="array" ref="O733">_xlfn.IFS(J733="M","Medium", J733="L","Light", J733="D","Dark")</f>
        <v>Dark</v>
      </c>
      <c r="P733" t="str">
        <f>_xlfn.XLOOKUP(orders!$C$2:$C$1001,customers!$A$2:$A$1001,customers!$I$2:$I$1001,,0)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IF(_xlfn.XLOOKUP(C734,customers!$A:$A,customers!$C:$C,,0)=0,"",_xlfn.XLOOKUP(C734,customers!$A:$A,customers!$C:$C,,0))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11"/>
        <v>8.91</v>
      </c>
      <c r="N734" t="s">
        <v>6198</v>
      </c>
      <c r="O734" t="str" cm="1">
        <f t="array" ref="O734">_xlfn.IFS(J734="M","Medium", J734="L","Light", J734="D","Dark")</f>
        <v>Light</v>
      </c>
      <c r="P734" t="str">
        <f>_xlfn.XLOOKUP(orders!$C$2:$C$1001,customers!$A$2:$A$1001,customers!$I$2:$I$1001,,0)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IF(_xlfn.XLOOKUP(C735,customers!$A:$A,customers!$C:$C,,0)=0,"",_xlfn.XLOOKUP(C735,customers!$A:$A,customers!$C:$C,,0))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11"/>
        <v>100.39499999999998</v>
      </c>
      <c r="N735" t="s">
        <v>6200</v>
      </c>
      <c r="O735" t="str" cm="1">
        <f t="array" ref="O735">_xlfn.IFS(J735="M","Medium", J735="L","Light", J735="D","Dark")</f>
        <v>Medium</v>
      </c>
      <c r="P735" t="str">
        <f>_xlfn.XLOOKUP(orders!$C$2:$C$1001,customers!$A$2:$A$1001,customers!$I$2:$I$1001,,0)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IF(_xlfn.XLOOKUP(C736,customers!$A:$A,customers!$C:$C,,0)=0,"",_xlfn.XLOOKUP(C736,customers!$A:$A,customers!$C:$C,,0))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11"/>
        <v>13.424999999999997</v>
      </c>
      <c r="N736" t="s">
        <v>6197</v>
      </c>
      <c r="O736" t="str" cm="1">
        <f t="array" ref="O736">_xlfn.IFS(J736="M","Medium", J736="L","Light", J736="D","Dark")</f>
        <v>Dark</v>
      </c>
      <c r="P736" t="str">
        <f>_xlfn.XLOOKUP(orders!$C$2:$C$1001,customers!$A$2:$A$1001,customers!$I$2:$I$1001,,0)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IF(_xlfn.XLOOKUP(C737,customers!$A:$A,customers!$C:$C,,0)=0,"",_xlfn.XLOOKUP(C737,customers!$A:$A,customers!$C:$C,,0))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11"/>
        <v>21.87</v>
      </c>
      <c r="N737" t="s">
        <v>6198</v>
      </c>
      <c r="O737" t="str" cm="1">
        <f t="array" ref="O737">_xlfn.IFS(J737="M","Medium", J737="L","Light", J737="D","Dark")</f>
        <v>Dark</v>
      </c>
      <c r="P737" t="str">
        <f>_xlfn.XLOOKUP(orders!$C$2:$C$1001,customers!$A$2:$A$1001,customers!$I$2:$I$1001,,0)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IF(_xlfn.XLOOKUP(C738,customers!$A:$A,customers!$C:$C,,0)=0,"",_xlfn.XLOOKUP(C738,customers!$A:$A,customers!$C:$C,,0))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11"/>
        <v>25.9</v>
      </c>
      <c r="N738" t="s">
        <v>6200</v>
      </c>
      <c r="O738" t="str" cm="1">
        <f t="array" ref="O738">_xlfn.IFS(J738="M","Medium", J738="L","Light", J738="D","Dark")</f>
        <v>Dark</v>
      </c>
      <c r="P738" t="str">
        <f>_xlfn.XLOOKUP(orders!$C$2:$C$1001,customers!$A$2:$A$1001,customers!$I$2:$I$1001,,0)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IF(_xlfn.XLOOKUP(C739,customers!$A:$A,customers!$C:$C,,0)=0,"",_xlfn.XLOOKUP(C739,customers!$A:$A,customers!$C:$C,,0))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11"/>
        <v>56.25</v>
      </c>
      <c r="N739" t="s">
        <v>6199</v>
      </c>
      <c r="O739" t="str" cm="1">
        <f t="array" ref="O739">_xlfn.IFS(J739="M","Medium", J739="L","Light", J739="D","Dark")</f>
        <v>Medium</v>
      </c>
      <c r="P739" t="str">
        <f>_xlfn.XLOOKUP(orders!$C$2:$C$1001,customers!$A$2:$A$1001,customers!$I$2:$I$1001,,0)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IF(_xlfn.XLOOKUP(C740,customers!$A:$A,customers!$C:$C,,0)=0,"",_xlfn.XLOOKUP(C740,customers!$A:$A,customers!$C:$C,,0))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11"/>
        <v>10.754999999999999</v>
      </c>
      <c r="N740" t="s">
        <v>6197</v>
      </c>
      <c r="O740" t="str" cm="1">
        <f t="array" ref="O740">_xlfn.IFS(J740="M","Medium", J740="L","Light", J740="D","Dark")</f>
        <v>Light</v>
      </c>
      <c r="P740" t="str">
        <f>_xlfn.XLOOKUP(orders!$C$2:$C$1001,customers!$A$2:$A$1001,customers!$I$2:$I$1001,,0)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IF(_xlfn.XLOOKUP(C741,customers!$A:$A,customers!$C:$C,,0)=0,"",_xlfn.XLOOKUP(C741,customers!$A:$A,customers!$C:$C,,0))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11"/>
        <v>18.225000000000001</v>
      </c>
      <c r="N741" t="s">
        <v>6198</v>
      </c>
      <c r="O741" t="str" cm="1">
        <f t="array" ref="O741">_xlfn.IFS(J741="M","Medium", J741="L","Light", J741="D","Dark")</f>
        <v>Dark</v>
      </c>
      <c r="P741" t="str">
        <f>_xlfn.XLOOKUP(orders!$C$2:$C$1001,customers!$A$2:$A$1001,customers!$I$2:$I$1001,,0)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IF(_xlfn.XLOOKUP(C742,customers!$A:$A,customers!$C:$C,,0)=0,"",_xlfn.XLOOKUP(C742,customers!$A:$A,customers!$C:$C,,0))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11"/>
        <v>28.679999999999996</v>
      </c>
      <c r="N742" t="s">
        <v>6197</v>
      </c>
      <c r="O742" t="str" cm="1">
        <f t="array" ref="O742">_xlfn.IFS(J742="M","Medium", J742="L","Light", J742="D","Dark")</f>
        <v>Light</v>
      </c>
      <c r="P742" t="str">
        <f>_xlfn.XLOOKUP(orders!$C$2:$C$1001,customers!$A$2:$A$1001,customers!$I$2:$I$1001,,0)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IF(_xlfn.XLOOKUP(C743,customers!$A:$A,customers!$C:$C,,0)=0,"",_xlfn.XLOOKUP(C743,customers!$A:$A,customers!$C:$C,,0))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11"/>
        <v>8.73</v>
      </c>
      <c r="N743" t="s">
        <v>6200</v>
      </c>
      <c r="O743" t="str" cm="1">
        <f t="array" ref="O743">_xlfn.IFS(J743="M","Medium", J743="L","Light", J743="D","Dark")</f>
        <v>Medium</v>
      </c>
      <c r="P743" t="str">
        <f>_xlfn.XLOOKUP(orders!$C$2:$C$1001,customers!$A$2:$A$1001,customers!$I$2:$I$1001,,0)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IF(_xlfn.XLOOKUP(C744,customers!$A:$A,customers!$C:$C,,0)=0,"",_xlfn.XLOOKUP(C744,customers!$A:$A,customers!$C:$C,,0))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11"/>
        <v>58.2</v>
      </c>
      <c r="N744" t="s">
        <v>6200</v>
      </c>
      <c r="O744" t="str" cm="1">
        <f t="array" ref="O744">_xlfn.IFS(J744="M","Medium", J744="L","Light", J744="D","Dark")</f>
        <v>Medium</v>
      </c>
      <c r="P744" t="str">
        <f>_xlfn.XLOOKUP(orders!$C$2:$C$1001,customers!$A$2:$A$1001,customers!$I$2:$I$1001,,0)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IF(_xlfn.XLOOKUP(C745,customers!$A:$A,customers!$C:$C,,0)=0,"",_xlfn.XLOOKUP(C745,customers!$A:$A,customers!$C:$C,,0))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11"/>
        <v>17.91</v>
      </c>
      <c r="N745" t="s">
        <v>6199</v>
      </c>
      <c r="O745" t="str" cm="1">
        <f t="array" ref="O745">_xlfn.IFS(J745="M","Medium", J745="L","Light", J745="D","Dark")</f>
        <v>Dark</v>
      </c>
      <c r="P745" t="str">
        <f>_xlfn.XLOOKUP(orders!$C$2:$C$1001,customers!$A$2:$A$1001,customers!$I$2:$I$1001,,0)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IF(_xlfn.XLOOKUP(C746,customers!$A:$A,customers!$C:$C,,0)=0,"",_xlfn.XLOOKUP(C746,customers!$A:$A,customers!$C:$C,,0))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11"/>
        <v>17.91</v>
      </c>
      <c r="N746" t="s">
        <v>6197</v>
      </c>
      <c r="O746" t="str" cm="1">
        <f t="array" ref="O746">_xlfn.IFS(J746="M","Medium", J746="L","Light", J746="D","Dark")</f>
        <v>Medium</v>
      </c>
      <c r="P746" t="str">
        <f>_xlfn.XLOOKUP(orders!$C$2:$C$1001,customers!$A$2:$A$1001,customers!$I$2:$I$1001,,0)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IF(_xlfn.XLOOKUP(C747,customers!$A:$A,customers!$C:$C,,0)=0,"",_xlfn.XLOOKUP(C747,customers!$A:$A,customers!$C:$C,,0))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11"/>
        <v>14.58</v>
      </c>
      <c r="N747" t="s">
        <v>6198</v>
      </c>
      <c r="O747" t="str" cm="1">
        <f t="array" ref="O747">_xlfn.IFS(J747="M","Medium", J747="L","Light", J747="D","Dark")</f>
        <v>Dark</v>
      </c>
      <c r="P747" t="str">
        <f>_xlfn.XLOOKUP(orders!$C$2:$C$1001,customers!$A$2:$A$1001,customers!$I$2:$I$1001,,0)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IF(_xlfn.XLOOKUP(C748,customers!$A:$A,customers!$C:$C,,0)=0,"",_xlfn.XLOOKUP(C748,customers!$A:$A,customers!$C:$C,,0))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11"/>
        <v>33.75</v>
      </c>
      <c r="N748" t="s">
        <v>6199</v>
      </c>
      <c r="O748" t="str" cm="1">
        <f t="array" ref="O748">_xlfn.IFS(J748="M","Medium", J748="L","Light", J748="D","Dark")</f>
        <v>Medium</v>
      </c>
      <c r="P748" t="str">
        <f>_xlfn.XLOOKUP(orders!$C$2:$C$1001,customers!$A$2:$A$1001,customers!$I$2:$I$1001,,0)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IF(_xlfn.XLOOKUP(C749,customers!$A:$A,customers!$C:$C,,0)=0,"",_xlfn.XLOOKUP(C749,customers!$A:$A,customers!$C:$C,,0))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11"/>
        <v>34.92</v>
      </c>
      <c r="N749" t="s">
        <v>6200</v>
      </c>
      <c r="O749" t="str" cm="1">
        <f t="array" ref="O749">_xlfn.IFS(J749="M","Medium", J749="L","Light", J749="D","Dark")</f>
        <v>Medium</v>
      </c>
      <c r="P749" t="str">
        <f>_xlfn.XLOOKUP(orders!$C$2:$C$1001,customers!$A$2:$A$1001,customers!$I$2:$I$1001,,0)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IF(_xlfn.XLOOKUP(C750,customers!$A:$A,customers!$C:$C,,0)=0,"",_xlfn.XLOOKUP(C750,customers!$A:$A,customers!$C:$C,,0))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11"/>
        <v>14.58</v>
      </c>
      <c r="N750" t="s">
        <v>6198</v>
      </c>
      <c r="O750" t="str" cm="1">
        <f t="array" ref="O750">_xlfn.IFS(J750="M","Medium", J750="L","Light", J750="D","Dark")</f>
        <v>Dark</v>
      </c>
      <c r="P750" t="str">
        <f>_xlfn.XLOOKUP(orders!$C$2:$C$1001,customers!$A$2:$A$1001,customers!$I$2:$I$1001,,0)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IF(_xlfn.XLOOKUP(C751,customers!$A:$A,customers!$C:$C,,0)=0,"",_xlfn.XLOOKUP(C751,customers!$A:$A,customers!$C:$C,,0))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11"/>
        <v>5.3699999999999992</v>
      </c>
      <c r="N751" t="s">
        <v>6197</v>
      </c>
      <c r="O751" t="str" cm="1">
        <f t="array" ref="O751">_xlfn.IFS(J751="M","Medium", J751="L","Light", J751="D","Dark")</f>
        <v>Dark</v>
      </c>
      <c r="P751" t="str">
        <f>_xlfn.XLOOKUP(orders!$C$2:$C$1001,customers!$A$2:$A$1001,customers!$I$2:$I$1001,,0)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IF(_xlfn.XLOOKUP(C752,customers!$A:$A,customers!$C:$C,,0)=0,"",_xlfn.XLOOKUP(C752,customers!$A:$A,customers!$C:$C,,0))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11"/>
        <v>5.97</v>
      </c>
      <c r="N752" t="s">
        <v>6197</v>
      </c>
      <c r="O752" t="str" cm="1">
        <f t="array" ref="O752">_xlfn.IFS(J752="M","Medium", J752="L","Light", J752="D","Dark")</f>
        <v>Medium</v>
      </c>
      <c r="P752" t="str">
        <f>_xlfn.XLOOKUP(orders!$C$2:$C$1001,customers!$A$2:$A$1001,customers!$I$2:$I$1001,,0)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IF(_xlfn.XLOOKUP(C753,customers!$A:$A,customers!$C:$C,,0)=0,"",_xlfn.XLOOKUP(C753,customers!$A:$A,customers!$C:$C,,0))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11"/>
        <v>19.02</v>
      </c>
      <c r="N753" t="s">
        <v>6200</v>
      </c>
      <c r="O753" t="str" cm="1">
        <f t="array" ref="O753">_xlfn.IFS(J753="M","Medium", J753="L","Light", J753="D","Dark")</f>
        <v>Light</v>
      </c>
      <c r="P753" t="str">
        <f>_xlfn.XLOOKUP(orders!$C$2:$C$1001,customers!$A$2:$A$1001,customers!$I$2:$I$1001,,0)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IF(_xlfn.XLOOKUP(C754,customers!$A:$A,customers!$C:$C,,0)=0,"",_xlfn.XLOOKUP(C754,customers!$A:$A,customers!$C:$C,,0))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11"/>
        <v>27.5</v>
      </c>
      <c r="N754" t="s">
        <v>6198</v>
      </c>
      <c r="O754" t="str" cm="1">
        <f t="array" ref="O754">_xlfn.IFS(J754="M","Medium", J754="L","Light", J754="D","Dark")</f>
        <v>Medium</v>
      </c>
      <c r="P754" t="str">
        <f>_xlfn.XLOOKUP(orders!$C$2:$C$1001,customers!$A$2:$A$1001,customers!$I$2:$I$1001,,0)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IF(_xlfn.XLOOKUP(C755,customers!$A:$A,customers!$C:$C,,0)=0,"",_xlfn.XLOOKUP(C755,customers!$A:$A,customers!$C:$C,,0))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11"/>
        <v>29.849999999999998</v>
      </c>
      <c r="N755" t="s">
        <v>6199</v>
      </c>
      <c r="O755" t="str" cm="1">
        <f t="array" ref="O755">_xlfn.IFS(J755="M","Medium", J755="L","Light", J755="D","Dark")</f>
        <v>Dark</v>
      </c>
      <c r="P755" t="str">
        <f>_xlfn.XLOOKUP(orders!$C$2:$C$1001,customers!$A$2:$A$1001,customers!$I$2:$I$1001,,0)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IF(_xlfn.XLOOKUP(C756,customers!$A:$A,customers!$C:$C,,0)=0,"",_xlfn.XLOOKUP(C756,customers!$A:$A,customers!$C:$C,,0))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11"/>
        <v>17.91</v>
      </c>
      <c r="N756" t="s">
        <v>6199</v>
      </c>
      <c r="O756" t="str" cm="1">
        <f t="array" ref="O756">_xlfn.IFS(J756="M","Medium", J756="L","Light", J756="D","Dark")</f>
        <v>Dark</v>
      </c>
      <c r="P756" t="str">
        <f>_xlfn.XLOOKUP(orders!$C$2:$C$1001,customers!$A$2:$A$1001,customers!$I$2:$I$1001,,0)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IF(_xlfn.XLOOKUP(C757,customers!$A:$A,customers!$C:$C,,0)=0,"",_xlfn.XLOOKUP(C757,customers!$A:$A,customers!$C:$C,,0))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11"/>
        <v>28.53</v>
      </c>
      <c r="N757" t="s">
        <v>6200</v>
      </c>
      <c r="O757" t="str" cm="1">
        <f t="array" ref="O757">_xlfn.IFS(J757="M","Medium", J757="L","Light", J757="D","Dark")</f>
        <v>Light</v>
      </c>
      <c r="P757" t="str">
        <f>_xlfn.XLOOKUP(orders!$C$2:$C$1001,customers!$A$2:$A$1001,customers!$I$2:$I$1001,,0)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IF(_xlfn.XLOOKUP(C758,customers!$A:$A,customers!$C:$C,,0)=0,"",_xlfn.XLOOKUP(C758,customers!$A:$A,customers!$C:$C,,0))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11"/>
        <v>35.799999999999997</v>
      </c>
      <c r="N758" t="s">
        <v>6197</v>
      </c>
      <c r="O758" t="str" cm="1">
        <f t="array" ref="O758">_xlfn.IFS(J758="M","Medium", J758="L","Light", J758="D","Dark")</f>
        <v>Dark</v>
      </c>
      <c r="P758" t="str">
        <f>_xlfn.XLOOKUP(orders!$C$2:$C$1001,customers!$A$2:$A$1001,customers!$I$2:$I$1001,,0)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IF(_xlfn.XLOOKUP(C759,customers!$A:$A,customers!$C:$C,,0)=0,"",_xlfn.XLOOKUP(C759,customers!$A:$A,customers!$C:$C,,0))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11"/>
        <v>17.91</v>
      </c>
      <c r="N759" t="s">
        <v>6199</v>
      </c>
      <c r="O759" t="str" cm="1">
        <f t="array" ref="O759">_xlfn.IFS(J759="M","Medium", J759="L","Light", J759="D","Dark")</f>
        <v>Dark</v>
      </c>
      <c r="P759" t="str">
        <f>_xlfn.XLOOKUP(orders!$C$2:$C$1001,customers!$A$2:$A$1001,customers!$I$2:$I$1001,,0)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IF(_xlfn.XLOOKUP(C760,customers!$A:$A,customers!$C:$C,,0)=0,"",_xlfn.XLOOKUP(C760,customers!$A:$A,customers!$C:$C,,0))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11"/>
        <v>8.9499999999999993</v>
      </c>
      <c r="N760" t="s">
        <v>6197</v>
      </c>
      <c r="O760" t="str" cm="1">
        <f t="array" ref="O760">_xlfn.IFS(J760="M","Medium", J760="L","Light", J760="D","Dark")</f>
        <v>Dark</v>
      </c>
      <c r="P760" t="str">
        <f>_xlfn.XLOOKUP(orders!$C$2:$C$1001,customers!$A$2:$A$1001,customers!$I$2:$I$1001,,0)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IF(_xlfn.XLOOKUP(C761,customers!$A:$A,customers!$C:$C,,0)=0,"",_xlfn.XLOOKUP(C761,customers!$A:$A,customers!$C:$C,,0))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11"/>
        <v>29.784999999999997</v>
      </c>
      <c r="N761" t="s">
        <v>6200</v>
      </c>
      <c r="O761" t="str" cm="1">
        <f t="array" ref="O761">_xlfn.IFS(J761="M","Medium", J761="L","Light", J761="D","Dark")</f>
        <v>Dark</v>
      </c>
      <c r="P761" t="str">
        <f>_xlfn.XLOOKUP(orders!$C$2:$C$1001,customers!$A$2:$A$1001,customers!$I$2:$I$1001,,0)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IF(_xlfn.XLOOKUP(C762,customers!$A:$A,customers!$C:$C,,0)=0,"",_xlfn.XLOOKUP(C762,customers!$A:$A,customers!$C:$C,,0))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11"/>
        <v>44.55</v>
      </c>
      <c r="N762" t="s">
        <v>6198</v>
      </c>
      <c r="O762" t="str" cm="1">
        <f t="array" ref="O762">_xlfn.IFS(J762="M","Medium", J762="L","Light", J762="D","Dark")</f>
        <v>Light</v>
      </c>
      <c r="P762" t="str">
        <f>_xlfn.XLOOKUP(orders!$C$2:$C$1001,customers!$A$2:$A$1001,customers!$I$2:$I$1001,,0)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IF(_xlfn.XLOOKUP(C763,customers!$A:$A,customers!$C:$C,,0)=0,"",_xlfn.XLOOKUP(C763,customers!$A:$A,customers!$C:$C,,0))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11"/>
        <v>89.1</v>
      </c>
      <c r="N763" t="s">
        <v>6198</v>
      </c>
      <c r="O763" t="str" cm="1">
        <f t="array" ref="O763">_xlfn.IFS(J763="M","Medium", J763="L","Light", J763="D","Dark")</f>
        <v>Light</v>
      </c>
      <c r="P763" t="str">
        <f>_xlfn.XLOOKUP(orders!$C$2:$C$1001,customers!$A$2:$A$1001,customers!$I$2:$I$1001,,0)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IF(_xlfn.XLOOKUP(C764,customers!$A:$A,customers!$C:$C,,0)=0,"",_xlfn.XLOOKUP(C764,customers!$A:$A,customers!$C:$C,,0))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11"/>
        <v>43.650000000000006</v>
      </c>
      <c r="N764" t="s">
        <v>6200</v>
      </c>
      <c r="O764" t="str" cm="1">
        <f t="array" ref="O764">_xlfn.IFS(J764="M","Medium", J764="L","Light", J764="D","Dark")</f>
        <v>Medium</v>
      </c>
      <c r="P764" t="str">
        <f>_xlfn.XLOOKUP(orders!$C$2:$C$1001,customers!$A$2:$A$1001,customers!$I$2:$I$1001,,0)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IF(_xlfn.XLOOKUP(C765,customers!$A:$A,customers!$C:$C,,0)=0,"",_xlfn.XLOOKUP(C765,customers!$A:$A,customers!$C:$C,,0))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11"/>
        <v>23.31</v>
      </c>
      <c r="N765" t="s">
        <v>6199</v>
      </c>
      <c r="O765" t="str" cm="1">
        <f t="array" ref="O765">_xlfn.IFS(J765="M","Medium", J765="L","Light", J765="D","Dark")</f>
        <v>Light</v>
      </c>
      <c r="P765" t="str">
        <f>_xlfn.XLOOKUP(orders!$C$2:$C$1001,customers!$A$2:$A$1001,customers!$I$2:$I$1001,,0)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IF(_xlfn.XLOOKUP(C766,customers!$A:$A,customers!$C:$C,,0)=0,"",_xlfn.XLOOKUP(C766,customers!$A:$A,customers!$C:$C,,0))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11"/>
        <v>178.70999999999998</v>
      </c>
      <c r="N766" t="s">
        <v>6199</v>
      </c>
      <c r="O766" t="str" cm="1">
        <f t="array" ref="O766">_xlfn.IFS(J766="M","Medium", J766="L","Light", J766="D","Dark")</f>
        <v>Light</v>
      </c>
      <c r="P766" t="str">
        <f>_xlfn.XLOOKUP(orders!$C$2:$C$1001,customers!$A$2:$A$1001,customers!$I$2:$I$1001,,0)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IF(_xlfn.XLOOKUP(C767,customers!$A:$A,customers!$C:$C,,0)=0,"",_xlfn.XLOOKUP(C767,customers!$A:$A,customers!$C:$C,,0))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11"/>
        <v>59.699999999999996</v>
      </c>
      <c r="N767" t="s">
        <v>6197</v>
      </c>
      <c r="O767" t="str" cm="1">
        <f t="array" ref="O767">_xlfn.IFS(J767="M","Medium", J767="L","Light", J767="D","Dark")</f>
        <v>Medium</v>
      </c>
      <c r="P767" t="str">
        <f>_xlfn.XLOOKUP(orders!$C$2:$C$1001,customers!$A$2:$A$1001,customers!$I$2:$I$1001,,0)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IF(_xlfn.XLOOKUP(C768,customers!$A:$A,customers!$C:$C,,0)=0,"",_xlfn.XLOOKUP(C768,customers!$A:$A,customers!$C:$C,,0))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11"/>
        <v>15.54</v>
      </c>
      <c r="N768" t="s">
        <v>6199</v>
      </c>
      <c r="O768" t="str" cm="1">
        <f t="array" ref="O768">_xlfn.IFS(J768="M","Medium", J768="L","Light", J768="D","Dark")</f>
        <v>Light</v>
      </c>
      <c r="P768" t="str">
        <f>_xlfn.XLOOKUP(orders!$C$2:$C$1001,customers!$A$2:$A$1001,customers!$I$2:$I$1001,,0)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IF(_xlfn.XLOOKUP(C769,customers!$A:$A,customers!$C:$C,,0)=0,"",_xlfn.XLOOKUP(C769,customers!$A:$A,customers!$C:$C,,0))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11"/>
        <v>89.35499999999999</v>
      </c>
      <c r="N769" t="s">
        <v>6199</v>
      </c>
      <c r="O769" t="str" cm="1">
        <f t="array" ref="O769">_xlfn.IFS(J769="M","Medium", J769="L","Light", J769="D","Dark")</f>
        <v>Light</v>
      </c>
      <c r="P769" t="str">
        <f>_xlfn.XLOOKUP(orders!$C$2:$C$1001,customers!$A$2:$A$1001,customers!$I$2:$I$1001,,0)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IF(_xlfn.XLOOKUP(C770,customers!$A:$A,customers!$C:$C,,0)=0,"",_xlfn.XLOOKUP(C770,customers!$A:$A,customers!$C:$C,,0))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11"/>
        <v>23.9</v>
      </c>
      <c r="N770" t="s">
        <v>6197</v>
      </c>
      <c r="O770" t="str" cm="1">
        <f t="array" ref="O770">_xlfn.IFS(J770="M","Medium", J770="L","Light", J770="D","Dark")</f>
        <v>Light</v>
      </c>
      <c r="P770" t="str">
        <f>_xlfn.XLOOKUP(orders!$C$2:$C$1001,customers!$A$2:$A$1001,customers!$I$2:$I$1001,,0)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IF(_xlfn.XLOOKUP(C771,customers!$A:$A,customers!$C:$C,,0)=0,"",_xlfn.XLOOKUP(C771,customers!$A:$A,customers!$C:$C,,0))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12">L771*E771</f>
        <v>137.31</v>
      </c>
      <c r="N771" t="s">
        <v>6197</v>
      </c>
      <c r="O771" t="str" cm="1">
        <f t="array" ref="O771">_xlfn.IFS(J771="M","Medium", J771="L","Light", J771="D","Dark")</f>
        <v>Medium</v>
      </c>
      <c r="P771" t="str">
        <f>_xlfn.XLOOKUP(orders!$C$2:$C$1001,customers!$A$2:$A$1001,customers!$I$2:$I$1001,,0)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IF(_xlfn.XLOOKUP(C772,customers!$A:$A,customers!$C:$C,,0)=0,"",_xlfn.XLOOKUP(C772,customers!$A:$A,customers!$C:$C,,0))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12"/>
        <v>9.9499999999999993</v>
      </c>
      <c r="N772" t="s">
        <v>6199</v>
      </c>
      <c r="O772" t="str" cm="1">
        <f t="array" ref="O772">_xlfn.IFS(J772="M","Medium", J772="L","Light", J772="D","Dark")</f>
        <v>Dark</v>
      </c>
      <c r="P772" t="str">
        <f>_xlfn.XLOOKUP(orders!$C$2:$C$1001,customers!$A$2:$A$1001,customers!$I$2:$I$1001,,0)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IF(_xlfn.XLOOKUP(C773,customers!$A:$A,customers!$C:$C,,0)=0,"",_xlfn.XLOOKUP(C773,customers!$A:$A,customers!$C:$C,,0))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12"/>
        <v>21.509999999999998</v>
      </c>
      <c r="N773" t="s">
        <v>6197</v>
      </c>
      <c r="O773" t="str" cm="1">
        <f t="array" ref="O773">_xlfn.IFS(J773="M","Medium", J773="L","Light", J773="D","Dark")</f>
        <v>Light</v>
      </c>
      <c r="P773" t="str">
        <f>_xlfn.XLOOKUP(orders!$C$2:$C$1001,customers!$A$2:$A$1001,customers!$I$2:$I$1001,,0)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IF(_xlfn.XLOOKUP(C774,customers!$A:$A,customers!$C:$C,,0)=0,"",_xlfn.XLOOKUP(C774,customers!$A:$A,customers!$C:$C,,0))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12"/>
        <v>82.5</v>
      </c>
      <c r="N774" t="s">
        <v>6198</v>
      </c>
      <c r="O774" t="str" cm="1">
        <f t="array" ref="O774">_xlfn.IFS(J774="M","Medium", J774="L","Light", J774="D","Dark")</f>
        <v>Medium</v>
      </c>
      <c r="P774" t="str">
        <f>_xlfn.XLOOKUP(orders!$C$2:$C$1001,customers!$A$2:$A$1001,customers!$I$2:$I$1001,,0)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IF(_xlfn.XLOOKUP(C775,customers!$A:$A,customers!$C:$C,,0)=0,"",_xlfn.XLOOKUP(C775,customers!$A:$A,customers!$C:$C,,0))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12"/>
        <v>8.73</v>
      </c>
      <c r="N775" t="s">
        <v>6200</v>
      </c>
      <c r="O775" t="str" cm="1">
        <f t="array" ref="O775">_xlfn.IFS(J775="M","Medium", J775="L","Light", J775="D","Dark")</f>
        <v>Medium</v>
      </c>
      <c r="P775" t="str">
        <f>_xlfn.XLOOKUP(orders!$C$2:$C$1001,customers!$A$2:$A$1001,customers!$I$2:$I$1001,,0)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IF(_xlfn.XLOOKUP(C776,customers!$A:$A,customers!$C:$C,,0)=0,"",_xlfn.XLOOKUP(C776,customers!$A:$A,customers!$C:$C,,0))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12"/>
        <v>19.899999999999999</v>
      </c>
      <c r="N776" t="s">
        <v>6197</v>
      </c>
      <c r="O776" t="str" cm="1">
        <f t="array" ref="O776">_xlfn.IFS(J776="M","Medium", J776="L","Light", J776="D","Dark")</f>
        <v>Medium</v>
      </c>
      <c r="P776" t="str">
        <f>_xlfn.XLOOKUP(orders!$C$2:$C$1001,customers!$A$2:$A$1001,customers!$I$2:$I$1001,,0)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IF(_xlfn.XLOOKUP(C777,customers!$A:$A,customers!$C:$C,,0)=0,"",_xlfn.XLOOKUP(C777,customers!$A:$A,customers!$C:$C,,0))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12"/>
        <v>17.82</v>
      </c>
      <c r="N777" t="s">
        <v>6198</v>
      </c>
      <c r="O777" t="str" cm="1">
        <f t="array" ref="O777">_xlfn.IFS(J777="M","Medium", J777="L","Light", J777="D","Dark")</f>
        <v>Light</v>
      </c>
      <c r="P777" t="str">
        <f>_xlfn.XLOOKUP(orders!$C$2:$C$1001,customers!$A$2:$A$1001,customers!$I$2:$I$1001,,0)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IF(_xlfn.XLOOKUP(C778,customers!$A:$A,customers!$C:$C,,0)=0,"",_xlfn.XLOOKUP(C778,customers!$A:$A,customers!$C:$C,,0))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12"/>
        <v>20.25</v>
      </c>
      <c r="N778" t="s">
        <v>6199</v>
      </c>
      <c r="O778" t="str" cm="1">
        <f t="array" ref="O778">_xlfn.IFS(J778="M","Medium", J778="L","Light", J778="D","Dark")</f>
        <v>Medium</v>
      </c>
      <c r="P778" t="str">
        <f>_xlfn.XLOOKUP(orders!$C$2:$C$1001,customers!$A$2:$A$1001,customers!$I$2:$I$1001,,0)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IF(_xlfn.XLOOKUP(C779,customers!$A:$A,customers!$C:$C,,0)=0,"",_xlfn.XLOOKUP(C779,customers!$A:$A,customers!$C:$C,,0))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12"/>
        <v>59.569999999999993</v>
      </c>
      <c r="N779" t="s">
        <v>6199</v>
      </c>
      <c r="O779" t="str" cm="1">
        <f t="array" ref="O779">_xlfn.IFS(J779="M","Medium", J779="L","Light", J779="D","Dark")</f>
        <v>Light</v>
      </c>
      <c r="P779" t="str">
        <f>_xlfn.XLOOKUP(orders!$C$2:$C$1001,customers!$A$2:$A$1001,customers!$I$2:$I$1001,,0)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IF(_xlfn.XLOOKUP(C780,customers!$A:$A,customers!$C:$C,,0)=0,"",_xlfn.XLOOKUP(C780,customers!$A:$A,customers!$C:$C,,0))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12"/>
        <v>19.02</v>
      </c>
      <c r="N780" t="s">
        <v>6200</v>
      </c>
      <c r="O780" t="str" cm="1">
        <f t="array" ref="O780">_xlfn.IFS(J780="M","Medium", J780="L","Light", J780="D","Dark")</f>
        <v>Light</v>
      </c>
      <c r="P780" t="str">
        <f>_xlfn.XLOOKUP(orders!$C$2:$C$1001,customers!$A$2:$A$1001,customers!$I$2:$I$1001,,0)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IF(_xlfn.XLOOKUP(C781,customers!$A:$A,customers!$C:$C,,0)=0,"",_xlfn.XLOOKUP(C781,customers!$A:$A,customers!$C:$C,,0))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12"/>
        <v>77.699999999999989</v>
      </c>
      <c r="N781" t="s">
        <v>6200</v>
      </c>
      <c r="O781" t="str" cm="1">
        <f t="array" ref="O781">_xlfn.IFS(J781="M","Medium", J781="L","Light", J781="D","Dark")</f>
        <v>Dark</v>
      </c>
      <c r="P781" t="str">
        <f>_xlfn.XLOOKUP(orders!$C$2:$C$1001,customers!$A$2:$A$1001,customers!$I$2:$I$1001,,0)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IF(_xlfn.XLOOKUP(C782,customers!$A:$A,customers!$C:$C,,0)=0,"",_xlfn.XLOOKUP(C782,customers!$A:$A,customers!$C:$C,,0))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12"/>
        <v>41.25</v>
      </c>
      <c r="N782" t="s">
        <v>6198</v>
      </c>
      <c r="O782" t="str" cm="1">
        <f t="array" ref="O782">_xlfn.IFS(J782="M","Medium", J782="L","Light", J782="D","Dark")</f>
        <v>Medium</v>
      </c>
      <c r="P782" t="str">
        <f>_xlfn.XLOOKUP(orders!$C$2:$C$1001,customers!$A$2:$A$1001,customers!$I$2:$I$1001,,0)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IF(_xlfn.XLOOKUP(C783,customers!$A:$A,customers!$C:$C,,0)=0,"",_xlfn.XLOOKUP(C783,customers!$A:$A,customers!$C:$C,,0))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12"/>
        <v>145.82</v>
      </c>
      <c r="N783" t="s">
        <v>6200</v>
      </c>
      <c r="O783" t="str" cm="1">
        <f t="array" ref="O783">_xlfn.IFS(J783="M","Medium", J783="L","Light", J783="D","Dark")</f>
        <v>Light</v>
      </c>
      <c r="P783" t="str">
        <f>_xlfn.XLOOKUP(orders!$C$2:$C$1001,customers!$A$2:$A$1001,customers!$I$2:$I$1001,,0)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IF(_xlfn.XLOOKUP(C784,customers!$A:$A,customers!$C:$C,,0)=0,"",_xlfn.XLOOKUP(C784,customers!$A:$A,customers!$C:$C,,0))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12"/>
        <v>26.73</v>
      </c>
      <c r="N784" t="s">
        <v>6198</v>
      </c>
      <c r="O784" t="str" cm="1">
        <f t="array" ref="O784">_xlfn.IFS(J784="M","Medium", J784="L","Light", J784="D","Dark")</f>
        <v>Light</v>
      </c>
      <c r="P784" t="str">
        <f>_xlfn.XLOOKUP(orders!$C$2:$C$1001,customers!$A$2:$A$1001,customers!$I$2:$I$1001,,0)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IF(_xlfn.XLOOKUP(C785,customers!$A:$A,customers!$C:$C,,0)=0,"",_xlfn.XLOOKUP(C785,customers!$A:$A,customers!$C:$C,,0))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12"/>
        <v>43.650000000000006</v>
      </c>
      <c r="N785" t="s">
        <v>6200</v>
      </c>
      <c r="O785" t="str" cm="1">
        <f t="array" ref="O785">_xlfn.IFS(J785="M","Medium", J785="L","Light", J785="D","Dark")</f>
        <v>Medium</v>
      </c>
      <c r="P785" t="str">
        <f>_xlfn.XLOOKUP(orders!$C$2:$C$1001,customers!$A$2:$A$1001,customers!$I$2:$I$1001,,0)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IF(_xlfn.XLOOKUP(C786,customers!$A:$A,customers!$C:$C,,0)=0,"",_xlfn.XLOOKUP(C786,customers!$A:$A,customers!$C:$C,,0))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12"/>
        <v>31.7</v>
      </c>
      <c r="N786" t="s">
        <v>6200</v>
      </c>
      <c r="O786" t="str" cm="1">
        <f t="array" ref="O786">_xlfn.IFS(J786="M","Medium", J786="L","Light", J786="D","Dark")</f>
        <v>Light</v>
      </c>
      <c r="P786" t="str">
        <f>_xlfn.XLOOKUP(orders!$C$2:$C$1001,customers!$A$2:$A$1001,customers!$I$2:$I$1001,,0)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IF(_xlfn.XLOOKUP(C787,customers!$A:$A,customers!$C:$C,,0)=0,"",_xlfn.XLOOKUP(C787,customers!$A:$A,customers!$C:$C,,0))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12"/>
        <v>22.884999999999998</v>
      </c>
      <c r="N787" t="s">
        <v>6199</v>
      </c>
      <c r="O787" t="str" cm="1">
        <f t="array" ref="O787">_xlfn.IFS(J787="M","Medium", J787="L","Light", J787="D","Dark")</f>
        <v>Dark</v>
      </c>
      <c r="P787" t="str">
        <f>_xlfn.XLOOKUP(orders!$C$2:$C$1001,customers!$A$2:$A$1001,customers!$I$2:$I$1001,,0)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IF(_xlfn.XLOOKUP(C788,customers!$A:$A,customers!$C:$C,,0)=0,"",_xlfn.XLOOKUP(C788,customers!$A:$A,customers!$C:$C,,0))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12"/>
        <v>27.945</v>
      </c>
      <c r="N788" t="s">
        <v>6198</v>
      </c>
      <c r="O788" t="str" cm="1">
        <f t="array" ref="O788">_xlfn.IFS(J788="M","Medium", J788="L","Light", J788="D","Dark")</f>
        <v>Dark</v>
      </c>
      <c r="P788" t="str">
        <f>_xlfn.XLOOKUP(orders!$C$2:$C$1001,customers!$A$2:$A$1001,customers!$I$2:$I$1001,,0)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IF(_xlfn.XLOOKUP(C789,customers!$A:$A,customers!$C:$C,,0)=0,"",_xlfn.XLOOKUP(C789,customers!$A:$A,customers!$C:$C,,0))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12"/>
        <v>82.5</v>
      </c>
      <c r="N789" t="s">
        <v>6198</v>
      </c>
      <c r="O789" t="str" cm="1">
        <f t="array" ref="O789">_xlfn.IFS(J789="M","Medium", J789="L","Light", J789="D","Dark")</f>
        <v>Medium</v>
      </c>
      <c r="P789" t="str">
        <f>_xlfn.XLOOKUP(orders!$C$2:$C$1001,customers!$A$2:$A$1001,customers!$I$2:$I$1001,,0)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IF(_xlfn.XLOOKUP(C790,customers!$A:$A,customers!$C:$C,,0)=0,"",_xlfn.XLOOKUP(C790,customers!$A:$A,customers!$C:$C,,0))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12"/>
        <v>45.769999999999996</v>
      </c>
      <c r="N790" t="s">
        <v>6197</v>
      </c>
      <c r="O790" t="str" cm="1">
        <f t="array" ref="O790">_xlfn.IFS(J790="M","Medium", J790="L","Light", J790="D","Dark")</f>
        <v>Medium</v>
      </c>
      <c r="P790" t="str">
        <f>_xlfn.XLOOKUP(orders!$C$2:$C$1001,customers!$A$2:$A$1001,customers!$I$2:$I$1001,,0)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IF(_xlfn.XLOOKUP(C791,customers!$A:$A,customers!$C:$C,,0)=0,"",_xlfn.XLOOKUP(C791,customers!$A:$A,customers!$C:$C,,0))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12"/>
        <v>77.699999999999989</v>
      </c>
      <c r="N791" t="s">
        <v>6199</v>
      </c>
      <c r="O791" t="str" cm="1">
        <f t="array" ref="O791">_xlfn.IFS(J791="M","Medium", J791="L","Light", J791="D","Dark")</f>
        <v>Light</v>
      </c>
      <c r="P791" t="str">
        <f>_xlfn.XLOOKUP(orders!$C$2:$C$1001,customers!$A$2:$A$1001,customers!$I$2:$I$1001,,0)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IF(_xlfn.XLOOKUP(C792,customers!$A:$A,customers!$C:$C,,0)=0,"",_xlfn.XLOOKUP(C792,customers!$A:$A,customers!$C:$C,,0))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12"/>
        <v>23.31</v>
      </c>
      <c r="N792" t="s">
        <v>6199</v>
      </c>
      <c r="O792" t="str" cm="1">
        <f t="array" ref="O792">_xlfn.IFS(J792="M","Medium", J792="L","Light", J792="D","Dark")</f>
        <v>Light</v>
      </c>
      <c r="P792" t="str">
        <f>_xlfn.XLOOKUP(orders!$C$2:$C$1001,customers!$A$2:$A$1001,customers!$I$2:$I$1001,,0)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IF(_xlfn.XLOOKUP(C793,customers!$A:$A,customers!$C:$C,,0)=0,"",_xlfn.XLOOKUP(C793,customers!$A:$A,customers!$C:$C,,0))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12"/>
        <v>23.774999999999999</v>
      </c>
      <c r="N793" t="s">
        <v>6200</v>
      </c>
      <c r="O793" t="str" cm="1">
        <f t="array" ref="O793">_xlfn.IFS(J793="M","Medium", J793="L","Light", J793="D","Dark")</f>
        <v>Light</v>
      </c>
      <c r="P793" t="str">
        <f>_xlfn.XLOOKUP(orders!$C$2:$C$1001,customers!$A$2:$A$1001,customers!$I$2:$I$1001,,0)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IF(_xlfn.XLOOKUP(C794,customers!$A:$A,customers!$C:$C,,0)=0,"",_xlfn.XLOOKUP(C794,customers!$A:$A,customers!$C:$C,,0))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12"/>
        <v>52.38</v>
      </c>
      <c r="N794" t="s">
        <v>6200</v>
      </c>
      <c r="O794" t="str" cm="1">
        <f t="array" ref="O794">_xlfn.IFS(J794="M","Medium", J794="L","Light", J794="D","Dark")</f>
        <v>Medium</v>
      </c>
      <c r="P794" t="str">
        <f>_xlfn.XLOOKUP(orders!$C$2:$C$1001,customers!$A$2:$A$1001,customers!$I$2:$I$1001,,0)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IF(_xlfn.XLOOKUP(C795,customers!$A:$A,customers!$C:$C,,0)=0,"",_xlfn.XLOOKUP(C795,customers!$A:$A,customers!$C:$C,,0))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12"/>
        <v>17.924999999999997</v>
      </c>
      <c r="N795" t="s">
        <v>6197</v>
      </c>
      <c r="O795" t="str" cm="1">
        <f t="array" ref="O795">_xlfn.IFS(J795="M","Medium", J795="L","Light", J795="D","Dark")</f>
        <v>Light</v>
      </c>
      <c r="P795" t="str">
        <f>_xlfn.XLOOKUP(orders!$C$2:$C$1001,customers!$A$2:$A$1001,customers!$I$2:$I$1001,,0)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IF(_xlfn.XLOOKUP(C796,customers!$A:$A,customers!$C:$C,,0)=0,"",_xlfn.XLOOKUP(C796,customers!$A:$A,customers!$C:$C,,0))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12"/>
        <v>148.92499999999998</v>
      </c>
      <c r="N796" t="s">
        <v>6199</v>
      </c>
      <c r="O796" t="str" cm="1">
        <f t="array" ref="O796">_xlfn.IFS(J796="M","Medium", J796="L","Light", J796="D","Dark")</f>
        <v>Light</v>
      </c>
      <c r="P796" t="str">
        <f>_xlfn.XLOOKUP(orders!$C$2:$C$1001,customers!$A$2:$A$1001,customers!$I$2:$I$1001,,0)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IF(_xlfn.XLOOKUP(C797,customers!$A:$A,customers!$C:$C,,0)=0,"",_xlfn.XLOOKUP(C797,customers!$A:$A,customers!$C:$C,,0))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12"/>
        <v>28.679999999999996</v>
      </c>
      <c r="N797" t="s">
        <v>6197</v>
      </c>
      <c r="O797" t="str" cm="1">
        <f t="array" ref="O797">_xlfn.IFS(J797="M","Medium", J797="L","Light", J797="D","Dark")</f>
        <v>Light</v>
      </c>
      <c r="P797" t="str">
        <f>_xlfn.XLOOKUP(orders!$C$2:$C$1001,customers!$A$2:$A$1001,customers!$I$2:$I$1001,,0)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IF(_xlfn.XLOOKUP(C798,customers!$A:$A,customers!$C:$C,,0)=0,"",_xlfn.XLOOKUP(C798,customers!$A:$A,customers!$C:$C,,0))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12"/>
        <v>9.51</v>
      </c>
      <c r="N798" t="s">
        <v>6200</v>
      </c>
      <c r="O798" t="str" cm="1">
        <f t="array" ref="O798">_xlfn.IFS(J798="M","Medium", J798="L","Light", J798="D","Dark")</f>
        <v>Light</v>
      </c>
      <c r="P798" t="str">
        <f>_xlfn.XLOOKUP(orders!$C$2:$C$1001,customers!$A$2:$A$1001,customers!$I$2:$I$1001,,0)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IF(_xlfn.XLOOKUP(C799,customers!$A:$A,customers!$C:$C,,0)=0,"",_xlfn.XLOOKUP(C799,customers!$A:$A,customers!$C:$C,,0))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12"/>
        <v>31.08</v>
      </c>
      <c r="N799" t="s">
        <v>6199</v>
      </c>
      <c r="O799" t="str" cm="1">
        <f t="array" ref="O799">_xlfn.IFS(J799="M","Medium", J799="L","Light", J799="D","Dark")</f>
        <v>Light</v>
      </c>
      <c r="P799" t="str">
        <f>_xlfn.XLOOKUP(orders!$C$2:$C$1001,customers!$A$2:$A$1001,customers!$I$2:$I$1001,,0)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IF(_xlfn.XLOOKUP(C800,customers!$A:$A,customers!$C:$C,,0)=0,"",_xlfn.XLOOKUP(C800,customers!$A:$A,customers!$C:$C,,0))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12"/>
        <v>8.0549999999999997</v>
      </c>
      <c r="N800" t="s">
        <v>6197</v>
      </c>
      <c r="O800" t="str" cm="1">
        <f t="array" ref="O800">_xlfn.IFS(J800="M","Medium", J800="L","Light", J800="D","Dark")</f>
        <v>Dark</v>
      </c>
      <c r="P800" t="str">
        <f>_xlfn.XLOOKUP(orders!$C$2:$C$1001,customers!$A$2:$A$1001,customers!$I$2:$I$1001,,0)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IF(_xlfn.XLOOKUP(C801,customers!$A:$A,customers!$C:$C,,0)=0,"",_xlfn.XLOOKUP(C801,customers!$A:$A,customers!$C:$C,,0))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12"/>
        <v>36.450000000000003</v>
      </c>
      <c r="N801" t="s">
        <v>6198</v>
      </c>
      <c r="O801" t="str" cm="1">
        <f t="array" ref="O801">_xlfn.IFS(J801="M","Medium", J801="L","Light", J801="D","Dark")</f>
        <v>Dark</v>
      </c>
      <c r="P801" t="str">
        <f>_xlfn.XLOOKUP(orders!$C$2:$C$1001,customers!$A$2:$A$1001,customers!$I$2:$I$1001,,0)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IF(_xlfn.XLOOKUP(C802,customers!$A:$A,customers!$C:$C,,0)=0,"",_xlfn.XLOOKUP(C802,customers!$A:$A,customers!$C:$C,,0))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12"/>
        <v>16.11</v>
      </c>
      <c r="N802" t="s">
        <v>6197</v>
      </c>
      <c r="O802" t="str" cm="1">
        <f t="array" ref="O802">_xlfn.IFS(J802="M","Medium", J802="L","Light", J802="D","Dark")</f>
        <v>Dark</v>
      </c>
      <c r="P802" t="str">
        <f>_xlfn.XLOOKUP(orders!$C$2:$C$1001,customers!$A$2:$A$1001,customers!$I$2:$I$1001,,0)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IF(_xlfn.XLOOKUP(C803,customers!$A:$A,customers!$C:$C,,0)=0,"",_xlfn.XLOOKUP(C803,customers!$A:$A,customers!$C:$C,,0))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12"/>
        <v>41.169999999999995</v>
      </c>
      <c r="N803" t="s">
        <v>6197</v>
      </c>
      <c r="O803" t="str" cm="1">
        <f t="array" ref="O803">_xlfn.IFS(J803="M","Medium", J803="L","Light", J803="D","Dark")</f>
        <v>Dark</v>
      </c>
      <c r="P803" t="str">
        <f>_xlfn.XLOOKUP(orders!$C$2:$C$1001,customers!$A$2:$A$1001,customers!$I$2:$I$1001,,0)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IF(_xlfn.XLOOKUP(C804,customers!$A:$A,customers!$C:$C,,0)=0,"",_xlfn.XLOOKUP(C804,customers!$A:$A,customers!$C:$C,,0))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12"/>
        <v>10.739999999999998</v>
      </c>
      <c r="N804" t="s">
        <v>6197</v>
      </c>
      <c r="O804" t="str" cm="1">
        <f t="array" ref="O804">_xlfn.IFS(J804="M","Medium", J804="L","Light", J804="D","Dark")</f>
        <v>Dark</v>
      </c>
      <c r="P804" t="str">
        <f>_xlfn.XLOOKUP(orders!$C$2:$C$1001,customers!$A$2:$A$1001,customers!$I$2:$I$1001,,0)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IF(_xlfn.XLOOKUP(C805,customers!$A:$A,customers!$C:$C,,0)=0,"",_xlfn.XLOOKUP(C805,customers!$A:$A,customers!$C:$C,,0))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12"/>
        <v>126.49999999999999</v>
      </c>
      <c r="N805" t="s">
        <v>6198</v>
      </c>
      <c r="O805" t="str" cm="1">
        <f t="array" ref="O805">_xlfn.IFS(J805="M","Medium", J805="L","Light", J805="D","Dark")</f>
        <v>Medium</v>
      </c>
      <c r="P805" t="str">
        <f>_xlfn.XLOOKUP(orders!$C$2:$C$1001,customers!$A$2:$A$1001,customers!$I$2:$I$1001,,0)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IF(_xlfn.XLOOKUP(C806,customers!$A:$A,customers!$C:$C,,0)=0,"",_xlfn.XLOOKUP(C806,customers!$A:$A,customers!$C:$C,,0))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12"/>
        <v>23.9</v>
      </c>
      <c r="N806" t="s">
        <v>6197</v>
      </c>
      <c r="O806" t="str" cm="1">
        <f t="array" ref="O806">_xlfn.IFS(J806="M","Medium", J806="L","Light", J806="D","Dark")</f>
        <v>Light</v>
      </c>
      <c r="P806" t="str">
        <f>_xlfn.XLOOKUP(orders!$C$2:$C$1001,customers!$A$2:$A$1001,customers!$I$2:$I$1001,,0)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IF(_xlfn.XLOOKUP(C807,customers!$A:$A,customers!$C:$C,,0)=0,"",_xlfn.XLOOKUP(C807,customers!$A:$A,customers!$C:$C,,0))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12"/>
        <v>5.97</v>
      </c>
      <c r="N807" t="s">
        <v>6197</v>
      </c>
      <c r="O807" t="str" cm="1">
        <f t="array" ref="O807">_xlfn.IFS(J807="M","Medium", J807="L","Light", J807="D","Dark")</f>
        <v>Medium</v>
      </c>
      <c r="P807" t="str">
        <f>_xlfn.XLOOKUP(orders!$C$2:$C$1001,customers!$A$2:$A$1001,customers!$I$2:$I$1001,,0)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IF(_xlfn.XLOOKUP(C808,customers!$A:$A,customers!$C:$C,,0)=0,"",_xlfn.XLOOKUP(C808,customers!$A:$A,customers!$C:$C,,0))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12"/>
        <v>7.77</v>
      </c>
      <c r="N808" t="s">
        <v>6200</v>
      </c>
      <c r="O808" t="str" cm="1">
        <f t="array" ref="O808">_xlfn.IFS(J808="M","Medium", J808="L","Light", J808="D","Dark")</f>
        <v>Dark</v>
      </c>
      <c r="P808" t="str">
        <f>_xlfn.XLOOKUP(orders!$C$2:$C$1001,customers!$A$2:$A$1001,customers!$I$2:$I$1001,,0)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IF(_xlfn.XLOOKUP(C809,customers!$A:$A,customers!$C:$C,,0)=0,"",_xlfn.XLOOKUP(C809,customers!$A:$A,customers!$C:$C,,0))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12"/>
        <v>23.31</v>
      </c>
      <c r="N809" t="s">
        <v>6200</v>
      </c>
      <c r="O809" t="str" cm="1">
        <f t="array" ref="O809">_xlfn.IFS(J809="M","Medium", J809="L","Light", J809="D","Dark")</f>
        <v>Dark</v>
      </c>
      <c r="P809" t="str">
        <f>_xlfn.XLOOKUP(orders!$C$2:$C$1001,customers!$A$2:$A$1001,customers!$I$2:$I$1001,,0)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IF(_xlfn.XLOOKUP(C810,customers!$A:$A,customers!$C:$C,,0)=0,"",_xlfn.XLOOKUP(C810,customers!$A:$A,customers!$C:$C,,0))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12"/>
        <v>137.42499999999998</v>
      </c>
      <c r="N810" t="s">
        <v>6197</v>
      </c>
      <c r="O810" t="str" cm="1">
        <f t="array" ref="O810">_xlfn.IFS(J810="M","Medium", J810="L","Light", J810="D","Dark")</f>
        <v>Light</v>
      </c>
      <c r="P810" t="str">
        <f>_xlfn.XLOOKUP(orders!$C$2:$C$1001,customers!$A$2:$A$1001,customers!$I$2:$I$1001,,0)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IF(_xlfn.XLOOKUP(C811,customers!$A:$A,customers!$C:$C,,0)=0,"",_xlfn.XLOOKUP(C811,customers!$A:$A,customers!$C:$C,,0))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12"/>
        <v>8.0549999999999997</v>
      </c>
      <c r="N811" t="s">
        <v>6197</v>
      </c>
      <c r="O811" t="str" cm="1">
        <f t="array" ref="O811">_xlfn.IFS(J811="M","Medium", J811="L","Light", J811="D","Dark")</f>
        <v>Dark</v>
      </c>
      <c r="P811" t="str">
        <f>_xlfn.XLOOKUP(orders!$C$2:$C$1001,customers!$A$2:$A$1001,customers!$I$2:$I$1001,,0)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IF(_xlfn.XLOOKUP(C812,customers!$A:$A,customers!$C:$C,,0)=0,"",_xlfn.XLOOKUP(C812,customers!$A:$A,customers!$C:$C,,0))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12"/>
        <v>28.53</v>
      </c>
      <c r="N812" t="s">
        <v>6200</v>
      </c>
      <c r="O812" t="str" cm="1">
        <f t="array" ref="O812">_xlfn.IFS(J812="M","Medium", J812="L","Light", J812="D","Dark")</f>
        <v>Light</v>
      </c>
      <c r="P812" t="str">
        <f>_xlfn.XLOOKUP(orders!$C$2:$C$1001,customers!$A$2:$A$1001,customers!$I$2:$I$1001,,0)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IF(_xlfn.XLOOKUP(C813,customers!$A:$A,customers!$C:$C,,0)=0,"",_xlfn.XLOOKUP(C813,customers!$A:$A,customers!$C:$C,,0))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12"/>
        <v>67.5</v>
      </c>
      <c r="N813" t="s">
        <v>6199</v>
      </c>
      <c r="O813" t="str" cm="1">
        <f t="array" ref="O813">_xlfn.IFS(J813="M","Medium", J813="L","Light", J813="D","Dark")</f>
        <v>Medium</v>
      </c>
      <c r="P813" t="str">
        <f>_xlfn.XLOOKUP(orders!$C$2:$C$1001,customers!$A$2:$A$1001,customers!$I$2:$I$1001,,0)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IF(_xlfn.XLOOKUP(C814,customers!$A:$A,customers!$C:$C,,0)=0,"",_xlfn.XLOOKUP(C814,customers!$A:$A,customers!$C:$C,,0))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12"/>
        <v>178.70999999999998</v>
      </c>
      <c r="N814" t="s">
        <v>6200</v>
      </c>
      <c r="O814" t="str" cm="1">
        <f t="array" ref="O814">_xlfn.IFS(J814="M","Medium", J814="L","Light", J814="D","Dark")</f>
        <v>Dark</v>
      </c>
      <c r="P814" t="str">
        <f>_xlfn.XLOOKUP(orders!$C$2:$C$1001,customers!$A$2:$A$1001,customers!$I$2:$I$1001,,0)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IF(_xlfn.XLOOKUP(C815,customers!$A:$A,customers!$C:$C,,0)=0,"",_xlfn.XLOOKUP(C815,customers!$A:$A,customers!$C:$C,,0))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12"/>
        <v>31.624999999999996</v>
      </c>
      <c r="N815" t="s">
        <v>6198</v>
      </c>
      <c r="O815" t="str" cm="1">
        <f t="array" ref="O815">_xlfn.IFS(J815="M","Medium", J815="L","Light", J815="D","Dark")</f>
        <v>Medium</v>
      </c>
      <c r="P815" t="str">
        <f>_xlfn.XLOOKUP(orders!$C$2:$C$1001,customers!$A$2:$A$1001,customers!$I$2:$I$1001,,0)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IF(_xlfn.XLOOKUP(C816,customers!$A:$A,customers!$C:$C,,0)=0,"",_xlfn.XLOOKUP(C816,customers!$A:$A,customers!$C:$C,,0))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12"/>
        <v>8.91</v>
      </c>
      <c r="N816" t="s">
        <v>6198</v>
      </c>
      <c r="O816" t="str" cm="1">
        <f t="array" ref="O816">_xlfn.IFS(J816="M","Medium", J816="L","Light", J816="D","Dark")</f>
        <v>Light</v>
      </c>
      <c r="P816" t="str">
        <f>_xlfn.XLOOKUP(orders!$C$2:$C$1001,customers!$A$2:$A$1001,customers!$I$2:$I$1001,,0)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IF(_xlfn.XLOOKUP(C817,customers!$A:$A,customers!$C:$C,,0)=0,"",_xlfn.XLOOKUP(C817,customers!$A:$A,customers!$C:$C,,0))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12"/>
        <v>35.82</v>
      </c>
      <c r="N817" t="s">
        <v>6197</v>
      </c>
      <c r="O817" t="str" cm="1">
        <f t="array" ref="O817">_xlfn.IFS(J817="M","Medium", J817="L","Light", J817="D","Dark")</f>
        <v>Medium</v>
      </c>
      <c r="P817" t="str">
        <f>_xlfn.XLOOKUP(orders!$C$2:$C$1001,customers!$A$2:$A$1001,customers!$I$2:$I$1001,,0)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IF(_xlfn.XLOOKUP(C818,customers!$A:$A,customers!$C:$C,,0)=0,"",_xlfn.XLOOKUP(C818,customers!$A:$A,customers!$C:$C,,0))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12"/>
        <v>38.04</v>
      </c>
      <c r="N818" t="s">
        <v>6200</v>
      </c>
      <c r="O818" t="str" cm="1">
        <f t="array" ref="O818">_xlfn.IFS(J818="M","Medium", J818="L","Light", J818="D","Dark")</f>
        <v>Light</v>
      </c>
      <c r="P818" t="str">
        <f>_xlfn.XLOOKUP(orders!$C$2:$C$1001,customers!$A$2:$A$1001,customers!$I$2:$I$1001,,0)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IF(_xlfn.XLOOKUP(C819,customers!$A:$A,customers!$C:$C,,0)=0,"",_xlfn.XLOOKUP(C819,customers!$A:$A,customers!$C:$C,,0))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12"/>
        <v>15.54</v>
      </c>
      <c r="N819" t="s">
        <v>6200</v>
      </c>
      <c r="O819" t="str" cm="1">
        <f t="array" ref="O819">_xlfn.IFS(J819="M","Medium", J819="L","Light", J819="D","Dark")</f>
        <v>Dark</v>
      </c>
      <c r="P819" t="str">
        <f>_xlfn.XLOOKUP(orders!$C$2:$C$1001,customers!$A$2:$A$1001,customers!$I$2:$I$1001,,0)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IF(_xlfn.XLOOKUP(C820,customers!$A:$A,customers!$C:$C,,0)=0,"",_xlfn.XLOOKUP(C820,customers!$A:$A,customers!$C:$C,,0))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12"/>
        <v>79.25</v>
      </c>
      <c r="N820" t="s">
        <v>6200</v>
      </c>
      <c r="O820" t="str" cm="1">
        <f t="array" ref="O820">_xlfn.IFS(J820="M","Medium", J820="L","Light", J820="D","Dark")</f>
        <v>Light</v>
      </c>
      <c r="P820" t="str">
        <f>_xlfn.XLOOKUP(orders!$C$2:$C$1001,customers!$A$2:$A$1001,customers!$I$2:$I$1001,,0)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IF(_xlfn.XLOOKUP(C821,customers!$A:$A,customers!$C:$C,,0)=0,"",_xlfn.XLOOKUP(C821,customers!$A:$A,customers!$C:$C,,0))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12"/>
        <v>4.7549999999999999</v>
      </c>
      <c r="N821" t="s">
        <v>6200</v>
      </c>
      <c r="O821" t="str" cm="1">
        <f t="array" ref="O821">_xlfn.IFS(J821="M","Medium", J821="L","Light", J821="D","Dark")</f>
        <v>Light</v>
      </c>
      <c r="P821" t="str">
        <f>_xlfn.XLOOKUP(orders!$C$2:$C$1001,customers!$A$2:$A$1001,customers!$I$2:$I$1001,,0)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IF(_xlfn.XLOOKUP(C822,customers!$A:$A,customers!$C:$C,,0)=0,"",_xlfn.XLOOKUP(C822,customers!$A:$A,customers!$C:$C,,0))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12"/>
        <v>55</v>
      </c>
      <c r="N822" t="s">
        <v>6198</v>
      </c>
      <c r="O822" t="str" cm="1">
        <f t="array" ref="O822">_xlfn.IFS(J822="M","Medium", J822="L","Light", J822="D","Dark")</f>
        <v>Medium</v>
      </c>
      <c r="P822" t="str">
        <f>_xlfn.XLOOKUP(orders!$C$2:$C$1001,customers!$A$2:$A$1001,customers!$I$2:$I$1001,,0)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IF(_xlfn.XLOOKUP(C823,customers!$A:$A,customers!$C:$C,,0)=0,"",_xlfn.XLOOKUP(C823,customers!$A:$A,customers!$C:$C,,0))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12"/>
        <v>26.849999999999994</v>
      </c>
      <c r="N823" t="s">
        <v>6197</v>
      </c>
      <c r="O823" t="str" cm="1">
        <f t="array" ref="O823">_xlfn.IFS(J823="M","Medium", J823="L","Light", J823="D","Dark")</f>
        <v>Dark</v>
      </c>
      <c r="P823" t="str">
        <f>_xlfn.XLOOKUP(orders!$C$2:$C$1001,customers!$A$2:$A$1001,customers!$I$2:$I$1001,,0)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IF(_xlfn.XLOOKUP(C824,customers!$A:$A,customers!$C:$C,,0)=0,"",_xlfn.XLOOKUP(C824,customers!$A:$A,customers!$C:$C,,0))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12"/>
        <v>136.61999999999998</v>
      </c>
      <c r="N824" t="s">
        <v>6198</v>
      </c>
      <c r="O824" t="str" cm="1">
        <f t="array" ref="O824">_xlfn.IFS(J824="M","Medium", J824="L","Light", J824="D","Dark")</f>
        <v>Light</v>
      </c>
      <c r="P824" t="str">
        <f>_xlfn.XLOOKUP(orders!$C$2:$C$1001,customers!$A$2:$A$1001,customers!$I$2:$I$1001,,0)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IF(_xlfn.XLOOKUP(C825,customers!$A:$A,customers!$C:$C,,0)=0,"",_xlfn.XLOOKUP(C825,customers!$A:$A,customers!$C:$C,,0))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12"/>
        <v>47.55</v>
      </c>
      <c r="N825" t="s">
        <v>6200</v>
      </c>
      <c r="O825" t="str" cm="1">
        <f t="array" ref="O825">_xlfn.IFS(J825="M","Medium", J825="L","Light", J825="D","Dark")</f>
        <v>Light</v>
      </c>
      <c r="P825" t="str">
        <f>_xlfn.XLOOKUP(orders!$C$2:$C$1001,customers!$A$2:$A$1001,customers!$I$2:$I$1001,,0)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IF(_xlfn.XLOOKUP(C826,customers!$A:$A,customers!$C:$C,,0)=0,"",_xlfn.XLOOKUP(C826,customers!$A:$A,customers!$C:$C,,0))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12"/>
        <v>16.875</v>
      </c>
      <c r="N826" t="s">
        <v>6199</v>
      </c>
      <c r="O826" t="str" cm="1">
        <f t="array" ref="O826">_xlfn.IFS(J826="M","Medium", J826="L","Light", J826="D","Dark")</f>
        <v>Medium</v>
      </c>
      <c r="P826" t="str">
        <f>_xlfn.XLOOKUP(orders!$C$2:$C$1001,customers!$A$2:$A$1001,customers!$I$2:$I$1001,,0)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IF(_xlfn.XLOOKUP(C827,customers!$A:$A,customers!$C:$C,,0)=0,"",_xlfn.XLOOKUP(C827,customers!$A:$A,customers!$C:$C,,0))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12"/>
        <v>29.849999999999998</v>
      </c>
      <c r="N827" t="s">
        <v>6199</v>
      </c>
      <c r="O827" t="str" cm="1">
        <f t="array" ref="O827">_xlfn.IFS(J827="M","Medium", J827="L","Light", J827="D","Dark")</f>
        <v>Dark</v>
      </c>
      <c r="P827" t="str">
        <f>_xlfn.XLOOKUP(orders!$C$2:$C$1001,customers!$A$2:$A$1001,customers!$I$2:$I$1001,,0)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IF(_xlfn.XLOOKUP(C828,customers!$A:$A,customers!$C:$C,,0)=0,"",_xlfn.XLOOKUP(C828,customers!$A:$A,customers!$C:$C,,0))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12"/>
        <v>41.25</v>
      </c>
      <c r="N828" t="s">
        <v>6198</v>
      </c>
      <c r="O828" t="str" cm="1">
        <f t="array" ref="O828">_xlfn.IFS(J828="M","Medium", J828="L","Light", J828="D","Dark")</f>
        <v>Medium</v>
      </c>
      <c r="P828" t="str">
        <f>_xlfn.XLOOKUP(orders!$C$2:$C$1001,customers!$A$2:$A$1001,customers!$I$2:$I$1001,,0)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IF(_xlfn.XLOOKUP(C829,customers!$A:$A,customers!$C:$C,,0)=0,"",_xlfn.XLOOKUP(C829,customers!$A:$A,customers!$C:$C,,0))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12"/>
        <v>20.625</v>
      </c>
      <c r="N829" t="s">
        <v>6198</v>
      </c>
      <c r="O829" t="str" cm="1">
        <f t="array" ref="O829">_xlfn.IFS(J829="M","Medium", J829="L","Light", J829="D","Dark")</f>
        <v>Medium</v>
      </c>
      <c r="P829" t="str">
        <f>_xlfn.XLOOKUP(orders!$C$2:$C$1001,customers!$A$2:$A$1001,customers!$I$2:$I$1001,,0)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IF(_xlfn.XLOOKUP(C830,customers!$A:$A,customers!$C:$C,,0)=0,"",_xlfn.XLOOKUP(C830,customers!$A:$A,customers!$C:$C,,0))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12"/>
        <v>137.31</v>
      </c>
      <c r="N830" t="s">
        <v>6199</v>
      </c>
      <c r="O830" t="str" cm="1">
        <f t="array" ref="O830">_xlfn.IFS(J830="M","Medium", J830="L","Light", J830="D","Dark")</f>
        <v>Dark</v>
      </c>
      <c r="P830" t="str">
        <f>_xlfn.XLOOKUP(orders!$C$2:$C$1001,customers!$A$2:$A$1001,customers!$I$2:$I$1001,,0)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IF(_xlfn.XLOOKUP(C831,customers!$A:$A,customers!$C:$C,,0)=0,"",_xlfn.XLOOKUP(C831,customers!$A:$A,customers!$C:$C,,0))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12"/>
        <v>2.9849999999999999</v>
      </c>
      <c r="N831" t="s">
        <v>6199</v>
      </c>
      <c r="O831" t="str" cm="1">
        <f t="array" ref="O831">_xlfn.IFS(J831="M","Medium", J831="L","Light", J831="D","Dark")</f>
        <v>Dark</v>
      </c>
      <c r="P831" t="str">
        <f>_xlfn.XLOOKUP(orders!$C$2:$C$1001,customers!$A$2:$A$1001,customers!$I$2:$I$1001,,0)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IF(_xlfn.XLOOKUP(C832,customers!$A:$A,customers!$C:$C,,0)=0,"",_xlfn.XLOOKUP(C832,customers!$A:$A,customers!$C:$C,,0))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12"/>
        <v>27.5</v>
      </c>
      <c r="N832" t="s">
        <v>6198</v>
      </c>
      <c r="O832" t="str" cm="1">
        <f t="array" ref="O832">_xlfn.IFS(J832="M","Medium", J832="L","Light", J832="D","Dark")</f>
        <v>Medium</v>
      </c>
      <c r="P832" t="str">
        <f>_xlfn.XLOOKUP(orders!$C$2:$C$1001,customers!$A$2:$A$1001,customers!$I$2:$I$1001,,0)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IF(_xlfn.XLOOKUP(C833,customers!$A:$A,customers!$C:$C,,0)=0,"",_xlfn.XLOOKUP(C833,customers!$A:$A,customers!$C:$C,,0))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12"/>
        <v>5.97</v>
      </c>
      <c r="N833" t="s">
        <v>6199</v>
      </c>
      <c r="O833" t="str" cm="1">
        <f t="array" ref="O833">_xlfn.IFS(J833="M","Medium", J833="L","Light", J833="D","Dark")</f>
        <v>Dark</v>
      </c>
      <c r="P833" t="str">
        <f>_xlfn.XLOOKUP(orders!$C$2:$C$1001,customers!$A$2:$A$1001,customers!$I$2:$I$1001,,0)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IF(_xlfn.XLOOKUP(C834,customers!$A:$A,customers!$C:$C,,0)=0,"",_xlfn.XLOOKUP(C834,customers!$A:$A,customers!$C:$C,,0))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12"/>
        <v>59.699999999999996</v>
      </c>
      <c r="N834" t="s">
        <v>6197</v>
      </c>
      <c r="O834" t="str" cm="1">
        <f t="array" ref="O834">_xlfn.IFS(J834="M","Medium", J834="L","Light", J834="D","Dark")</f>
        <v>Medium</v>
      </c>
      <c r="P834" t="str">
        <f>_xlfn.XLOOKUP(orders!$C$2:$C$1001,customers!$A$2:$A$1001,customers!$I$2:$I$1001,,0)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IF(_xlfn.XLOOKUP(C835,customers!$A:$A,customers!$C:$C,,0)=0,"",_xlfn.XLOOKUP(C835,customers!$A:$A,customers!$C:$C,,0))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13">L835*E835</f>
        <v>82.339999999999989</v>
      </c>
      <c r="N835" t="s">
        <v>6197</v>
      </c>
      <c r="O835" t="str" cm="1">
        <f t="array" ref="O835">_xlfn.IFS(J835="M","Medium", J835="L","Light", J835="D","Dark")</f>
        <v>Dark</v>
      </c>
      <c r="P835" t="str">
        <f>_xlfn.XLOOKUP(orders!$C$2:$C$1001,customers!$A$2:$A$1001,customers!$I$2:$I$1001,,0)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IF(_xlfn.XLOOKUP(C836,customers!$A:$A,customers!$C:$C,,0)=0,"",_xlfn.XLOOKUP(C836,customers!$A:$A,customers!$C:$C,,0))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13"/>
        <v>22.884999999999998</v>
      </c>
      <c r="N836" t="s">
        <v>6199</v>
      </c>
      <c r="O836" t="str" cm="1">
        <f t="array" ref="O836">_xlfn.IFS(J836="M","Medium", J836="L","Light", J836="D","Dark")</f>
        <v>Dark</v>
      </c>
      <c r="P836" t="str">
        <f>_xlfn.XLOOKUP(orders!$C$2:$C$1001,customers!$A$2:$A$1001,customers!$I$2:$I$1001,,0)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IF(_xlfn.XLOOKUP(C837,customers!$A:$A,customers!$C:$C,,0)=0,"",_xlfn.XLOOKUP(C837,customers!$A:$A,customers!$C:$C,,0))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13"/>
        <v>8.91</v>
      </c>
      <c r="N837" t="s">
        <v>6198</v>
      </c>
      <c r="O837" t="str" cm="1">
        <f t="array" ref="O837">_xlfn.IFS(J837="M","Medium", J837="L","Light", J837="D","Dark")</f>
        <v>Light</v>
      </c>
      <c r="P837" t="str">
        <f>_xlfn.XLOOKUP(orders!$C$2:$C$1001,customers!$A$2:$A$1001,customers!$I$2:$I$1001,,0)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IF(_xlfn.XLOOKUP(C838,customers!$A:$A,customers!$C:$C,,0)=0,"",_xlfn.XLOOKUP(C838,customers!$A:$A,customers!$C:$C,,0))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13"/>
        <v>11.94</v>
      </c>
      <c r="N838" t="s">
        <v>6199</v>
      </c>
      <c r="O838" t="str" cm="1">
        <f t="array" ref="O838">_xlfn.IFS(J838="M","Medium", J838="L","Light", J838="D","Dark")</f>
        <v>Dark</v>
      </c>
      <c r="P838" t="str">
        <f>_xlfn.XLOOKUP(orders!$C$2:$C$1001,customers!$A$2:$A$1001,customers!$I$2:$I$1001,,0)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IF(_xlfn.XLOOKUP(C839,customers!$A:$A,customers!$C:$C,,0)=0,"",_xlfn.XLOOKUP(C839,customers!$A:$A,customers!$C:$C,,0))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13"/>
        <v>100.39499999999998</v>
      </c>
      <c r="N839" t="s">
        <v>6200</v>
      </c>
      <c r="O839" t="str" cm="1">
        <f t="array" ref="O839">_xlfn.IFS(J839="M","Medium", J839="L","Light", J839="D","Dark")</f>
        <v>Medium</v>
      </c>
      <c r="P839" t="str">
        <f>_xlfn.XLOOKUP(orders!$C$2:$C$1001,customers!$A$2:$A$1001,customers!$I$2:$I$1001,,0)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IF(_xlfn.XLOOKUP(C840,customers!$A:$A,customers!$C:$C,,0)=0,"",_xlfn.XLOOKUP(C840,customers!$A:$A,customers!$C:$C,,0))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13"/>
        <v>114.42499999999998</v>
      </c>
      <c r="N840" t="s">
        <v>6199</v>
      </c>
      <c r="O840" t="str" cm="1">
        <f t="array" ref="O840">_xlfn.IFS(J840="M","Medium", J840="L","Light", J840="D","Dark")</f>
        <v>Dark</v>
      </c>
      <c r="P840" t="str">
        <f>_xlfn.XLOOKUP(orders!$C$2:$C$1001,customers!$A$2:$A$1001,customers!$I$2:$I$1001,,0)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IF(_xlfn.XLOOKUP(C841,customers!$A:$A,customers!$C:$C,,0)=0,"",_xlfn.XLOOKUP(C841,customers!$A:$A,customers!$C:$C,,0))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13"/>
        <v>41.25</v>
      </c>
      <c r="N841" t="s">
        <v>6198</v>
      </c>
      <c r="O841" t="str" cm="1">
        <f t="array" ref="O841">_xlfn.IFS(J841="M","Medium", J841="L","Light", J841="D","Dark")</f>
        <v>Medium</v>
      </c>
      <c r="P841" t="str">
        <f>_xlfn.XLOOKUP(orders!$C$2:$C$1001,customers!$A$2:$A$1001,customers!$I$2:$I$1001,,0)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IF(_xlfn.XLOOKUP(C842,customers!$A:$A,customers!$C:$C,,0)=0,"",_xlfn.XLOOKUP(C842,customers!$A:$A,customers!$C:$C,,0))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13"/>
        <v>28.679999999999996</v>
      </c>
      <c r="N842" t="s">
        <v>6197</v>
      </c>
      <c r="O842" t="str" cm="1">
        <f t="array" ref="O842">_xlfn.IFS(J842="M","Medium", J842="L","Light", J842="D","Dark")</f>
        <v>Light</v>
      </c>
      <c r="P842" t="str">
        <f>_xlfn.XLOOKUP(orders!$C$2:$C$1001,customers!$A$2:$A$1001,customers!$I$2:$I$1001,,0)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IF(_xlfn.XLOOKUP(C843,customers!$A:$A,customers!$C:$C,,0)=0,"",_xlfn.XLOOKUP(C843,customers!$A:$A,customers!$C:$C,,0))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13"/>
        <v>4.3650000000000002</v>
      </c>
      <c r="N843" t="s">
        <v>6200</v>
      </c>
      <c r="O843" t="str" cm="1">
        <f t="array" ref="O843">_xlfn.IFS(J843="M","Medium", J843="L","Light", J843="D","Dark")</f>
        <v>Medium</v>
      </c>
      <c r="P843" t="str">
        <f>_xlfn.XLOOKUP(orders!$C$2:$C$1001,customers!$A$2:$A$1001,customers!$I$2:$I$1001,,0)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IF(_xlfn.XLOOKUP(C844,customers!$A:$A,customers!$C:$C,,0)=0,"",_xlfn.XLOOKUP(C844,customers!$A:$A,customers!$C:$C,,0))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13"/>
        <v>8.25</v>
      </c>
      <c r="N844" t="s">
        <v>6198</v>
      </c>
      <c r="O844" t="str" cm="1">
        <f t="array" ref="O844">_xlfn.IFS(J844="M","Medium", J844="L","Light", J844="D","Dark")</f>
        <v>Medium</v>
      </c>
      <c r="P844" t="str">
        <f>_xlfn.XLOOKUP(orders!$C$2:$C$1001,customers!$A$2:$A$1001,customers!$I$2:$I$1001,,0)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IF(_xlfn.XLOOKUP(C845,customers!$A:$A,customers!$C:$C,,0)=0,"",_xlfn.XLOOKUP(C845,customers!$A:$A,customers!$C:$C,,0))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13"/>
        <v>8.25</v>
      </c>
      <c r="N845" t="s">
        <v>6198</v>
      </c>
      <c r="O845" t="str" cm="1">
        <f t="array" ref="O845">_xlfn.IFS(J845="M","Medium", J845="L","Light", J845="D","Dark")</f>
        <v>Medium</v>
      </c>
      <c r="P845" t="str">
        <f>_xlfn.XLOOKUP(orders!$C$2:$C$1001,customers!$A$2:$A$1001,customers!$I$2:$I$1001,,0)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IF(_xlfn.XLOOKUP(C846,customers!$A:$A,customers!$C:$C,,0)=0,"",_xlfn.XLOOKUP(C846,customers!$A:$A,customers!$C:$C,,0))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13"/>
        <v>35.82</v>
      </c>
      <c r="N846" t="s">
        <v>6199</v>
      </c>
      <c r="O846" t="str" cm="1">
        <f t="array" ref="O846">_xlfn.IFS(J846="M","Medium", J846="L","Light", J846="D","Dark")</f>
        <v>Dark</v>
      </c>
      <c r="P846" t="str">
        <f>_xlfn.XLOOKUP(orders!$C$2:$C$1001,customers!$A$2:$A$1001,customers!$I$2:$I$1001,,0)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IF(_xlfn.XLOOKUP(C847,customers!$A:$A,customers!$C:$C,,0)=0,"",_xlfn.XLOOKUP(C847,customers!$A:$A,customers!$C:$C,,0))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13"/>
        <v>167.67000000000002</v>
      </c>
      <c r="N847" t="s">
        <v>6198</v>
      </c>
      <c r="O847" t="str" cm="1">
        <f t="array" ref="O847">_xlfn.IFS(J847="M","Medium", J847="L","Light", J847="D","Dark")</f>
        <v>Dark</v>
      </c>
      <c r="P847" t="str">
        <f>_xlfn.XLOOKUP(orders!$C$2:$C$1001,customers!$A$2:$A$1001,customers!$I$2:$I$1001,,0)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IF(_xlfn.XLOOKUP(C848,customers!$A:$A,customers!$C:$C,,0)=0,"",_xlfn.XLOOKUP(C848,customers!$A:$A,customers!$C:$C,,0))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13"/>
        <v>51.749999999999993</v>
      </c>
      <c r="N848" t="s">
        <v>6199</v>
      </c>
      <c r="O848" t="str" cm="1">
        <f t="array" ref="O848">_xlfn.IFS(J848="M","Medium", J848="L","Light", J848="D","Dark")</f>
        <v>Medium</v>
      </c>
      <c r="P848" t="str">
        <f>_xlfn.XLOOKUP(orders!$C$2:$C$1001,customers!$A$2:$A$1001,customers!$I$2:$I$1001,,0)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IF(_xlfn.XLOOKUP(C849,customers!$A:$A,customers!$C:$C,,0)=0,"",_xlfn.XLOOKUP(C849,customers!$A:$A,customers!$C:$C,,0))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13"/>
        <v>8.9550000000000001</v>
      </c>
      <c r="N849" t="s">
        <v>6199</v>
      </c>
      <c r="O849" t="str" cm="1">
        <f t="array" ref="O849">_xlfn.IFS(J849="M","Medium", J849="L","Light", J849="D","Dark")</f>
        <v>Dark</v>
      </c>
      <c r="P849" t="str">
        <f>_xlfn.XLOOKUP(orders!$C$2:$C$1001,customers!$A$2:$A$1001,customers!$I$2:$I$1001,,0)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IF(_xlfn.XLOOKUP(C850,customers!$A:$A,customers!$C:$C,,0)=0,"",_xlfn.XLOOKUP(C850,customers!$A:$A,customers!$C:$C,,0))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13"/>
        <v>53.46</v>
      </c>
      <c r="N850" t="s">
        <v>6198</v>
      </c>
      <c r="O850" t="str" cm="1">
        <f t="array" ref="O850">_xlfn.IFS(J850="M","Medium", J850="L","Light", J850="D","Dark")</f>
        <v>Light</v>
      </c>
      <c r="P850" t="str">
        <f>_xlfn.XLOOKUP(orders!$C$2:$C$1001,customers!$A$2:$A$1001,customers!$I$2:$I$1001,,0)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IF(_xlfn.XLOOKUP(C851,customers!$A:$A,customers!$C:$C,,0)=0,"",_xlfn.XLOOKUP(C851,customers!$A:$A,customers!$C:$C,,0))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13"/>
        <v>23.31</v>
      </c>
      <c r="N851" t="s">
        <v>6199</v>
      </c>
      <c r="O851" t="str" cm="1">
        <f t="array" ref="O851">_xlfn.IFS(J851="M","Medium", J851="L","Light", J851="D","Dark")</f>
        <v>Light</v>
      </c>
      <c r="P851" t="str">
        <f>_xlfn.XLOOKUP(orders!$C$2:$C$1001,customers!$A$2:$A$1001,customers!$I$2:$I$1001,,0)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IF(_xlfn.XLOOKUP(C852,customers!$A:$A,customers!$C:$C,,0)=0,"",_xlfn.XLOOKUP(C852,customers!$A:$A,customers!$C:$C,,0))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13"/>
        <v>6.75</v>
      </c>
      <c r="N852" t="s">
        <v>6199</v>
      </c>
      <c r="O852" t="str" cm="1">
        <f t="array" ref="O852">_xlfn.IFS(J852="M","Medium", J852="L","Light", J852="D","Dark")</f>
        <v>Medium</v>
      </c>
      <c r="P852" t="str">
        <f>_xlfn.XLOOKUP(orders!$C$2:$C$1001,customers!$A$2:$A$1001,customers!$I$2:$I$1001,,0)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IF(_xlfn.XLOOKUP(C853,customers!$A:$A,customers!$C:$C,,0)=0,"",_xlfn.XLOOKUP(C853,customers!$A:$A,customers!$C:$C,,0))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13"/>
        <v>7.77</v>
      </c>
      <c r="N853" t="s">
        <v>6200</v>
      </c>
      <c r="O853" t="str" cm="1">
        <f t="array" ref="O853">_xlfn.IFS(J853="M","Medium", J853="L","Light", J853="D","Dark")</f>
        <v>Dark</v>
      </c>
      <c r="P853" t="str">
        <f>_xlfn.XLOOKUP(orders!$C$2:$C$1001,customers!$A$2:$A$1001,customers!$I$2:$I$1001,,0)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IF(_xlfn.XLOOKUP(C854,customers!$A:$A,customers!$C:$C,,0)=0,"",_xlfn.XLOOKUP(C854,customers!$A:$A,customers!$C:$C,,0))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13"/>
        <v>119.13999999999999</v>
      </c>
      <c r="N854" t="s">
        <v>6200</v>
      </c>
      <c r="O854" t="str" cm="1">
        <f t="array" ref="O854">_xlfn.IFS(J854="M","Medium", J854="L","Light", J854="D","Dark")</f>
        <v>Dark</v>
      </c>
      <c r="P854" t="str">
        <f>_xlfn.XLOOKUP(orders!$C$2:$C$1001,customers!$A$2:$A$1001,customers!$I$2:$I$1001,,0)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IF(_xlfn.XLOOKUP(C855,customers!$A:$A,customers!$C:$C,,0)=0,"",_xlfn.XLOOKUP(C855,customers!$A:$A,customers!$C:$C,,0))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13"/>
        <v>19.899999999999999</v>
      </c>
      <c r="N855" t="s">
        <v>6199</v>
      </c>
      <c r="O855" t="str" cm="1">
        <f t="array" ref="O855">_xlfn.IFS(J855="M","Medium", J855="L","Light", J855="D","Dark")</f>
        <v>Dark</v>
      </c>
      <c r="P855" t="str">
        <f>_xlfn.XLOOKUP(orders!$C$2:$C$1001,customers!$A$2:$A$1001,customers!$I$2:$I$1001,,0)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IF(_xlfn.XLOOKUP(C856,customers!$A:$A,customers!$C:$C,,0)=0,"",_xlfn.XLOOKUP(C856,customers!$A:$A,customers!$C:$C,,0))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13"/>
        <v>35.849999999999994</v>
      </c>
      <c r="N856" t="s">
        <v>6197</v>
      </c>
      <c r="O856" t="str" cm="1">
        <f t="array" ref="O856">_xlfn.IFS(J856="M","Medium", J856="L","Light", J856="D","Dark")</f>
        <v>Light</v>
      </c>
      <c r="P856" t="str">
        <f>_xlfn.XLOOKUP(orders!$C$2:$C$1001,customers!$A$2:$A$1001,customers!$I$2:$I$1001,,0)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IF(_xlfn.XLOOKUP(C857,customers!$A:$A,customers!$C:$C,,0)=0,"",_xlfn.XLOOKUP(C857,customers!$A:$A,customers!$C:$C,,0))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13"/>
        <v>89.35499999999999</v>
      </c>
      <c r="N857" t="s">
        <v>6200</v>
      </c>
      <c r="O857" t="str" cm="1">
        <f t="array" ref="O857">_xlfn.IFS(J857="M","Medium", J857="L","Light", J857="D","Dark")</f>
        <v>Dark</v>
      </c>
      <c r="P857" t="str">
        <f>_xlfn.XLOOKUP(orders!$C$2:$C$1001,customers!$A$2:$A$1001,customers!$I$2:$I$1001,,0)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IF(_xlfn.XLOOKUP(C858,customers!$A:$A,customers!$C:$C,,0)=0,"",_xlfn.XLOOKUP(C858,customers!$A:$A,customers!$C:$C,,0))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13"/>
        <v>8.73</v>
      </c>
      <c r="N858" t="s">
        <v>6200</v>
      </c>
      <c r="O858" t="str" cm="1">
        <f t="array" ref="O858">_xlfn.IFS(J858="M","Medium", J858="L","Light", J858="D","Dark")</f>
        <v>Medium</v>
      </c>
      <c r="P858" t="str">
        <f>_xlfn.XLOOKUP(orders!$C$2:$C$1001,customers!$A$2:$A$1001,customers!$I$2:$I$1001,,0)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IF(_xlfn.XLOOKUP(C859,customers!$A:$A,customers!$C:$C,,0)=0,"",_xlfn.XLOOKUP(C859,customers!$A:$A,customers!$C:$C,,0))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13"/>
        <v>137.42499999999998</v>
      </c>
      <c r="N859" t="s">
        <v>6197</v>
      </c>
      <c r="O859" t="str" cm="1">
        <f t="array" ref="O859">_xlfn.IFS(J859="M","Medium", J859="L","Light", J859="D","Dark")</f>
        <v>Light</v>
      </c>
      <c r="P859" t="str">
        <f>_xlfn.XLOOKUP(orders!$C$2:$C$1001,customers!$A$2:$A$1001,customers!$I$2:$I$1001,,0)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IF(_xlfn.XLOOKUP(C860,customers!$A:$A,customers!$C:$C,,0)=0,"",_xlfn.XLOOKUP(C860,customers!$A:$A,customers!$C:$C,,0))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13"/>
        <v>34.92</v>
      </c>
      <c r="N860" t="s">
        <v>6200</v>
      </c>
      <c r="O860" t="str" cm="1">
        <f t="array" ref="O860">_xlfn.IFS(J860="M","Medium", J860="L","Light", J860="D","Dark")</f>
        <v>Medium</v>
      </c>
      <c r="P860" t="str">
        <f>_xlfn.XLOOKUP(orders!$C$2:$C$1001,customers!$A$2:$A$1001,customers!$I$2:$I$1001,,0)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IF(_xlfn.XLOOKUP(C861,customers!$A:$A,customers!$C:$C,,0)=0,"",_xlfn.XLOOKUP(C861,customers!$A:$A,customers!$C:$C,,0))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13"/>
        <v>178.70999999999998</v>
      </c>
      <c r="N861" t="s">
        <v>6199</v>
      </c>
      <c r="O861" t="str" cm="1">
        <f t="array" ref="O861">_xlfn.IFS(J861="M","Medium", J861="L","Light", J861="D","Dark")</f>
        <v>Light</v>
      </c>
      <c r="P861" t="str">
        <f>_xlfn.XLOOKUP(orders!$C$2:$C$1001,customers!$A$2:$A$1001,customers!$I$2:$I$1001,,0)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IF(_xlfn.XLOOKUP(C862,customers!$A:$A,customers!$C:$C,,0)=0,"",_xlfn.XLOOKUP(C862,customers!$A:$A,customers!$C:$C,,0))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13"/>
        <v>25.874999999999996</v>
      </c>
      <c r="N862" t="s">
        <v>6199</v>
      </c>
      <c r="O862" t="str" cm="1">
        <f t="array" ref="O862">_xlfn.IFS(J862="M","Medium", J862="L","Light", J862="D","Dark")</f>
        <v>Medium</v>
      </c>
      <c r="P862" t="str">
        <f>_xlfn.XLOOKUP(orders!$C$2:$C$1001,customers!$A$2:$A$1001,customers!$I$2:$I$1001,,0)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IF(_xlfn.XLOOKUP(C863,customers!$A:$A,customers!$C:$C,,0)=0,"",_xlfn.XLOOKUP(C863,customers!$A:$A,customers!$C:$C,,0))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13"/>
        <v>77.699999999999989</v>
      </c>
      <c r="N863" t="s">
        <v>6200</v>
      </c>
      <c r="O863" t="str" cm="1">
        <f t="array" ref="O863">_xlfn.IFS(J863="M","Medium", J863="L","Light", J863="D","Dark")</f>
        <v>Dark</v>
      </c>
      <c r="P863" t="str">
        <f>_xlfn.XLOOKUP(orders!$C$2:$C$1001,customers!$A$2:$A$1001,customers!$I$2:$I$1001,,0)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IF(_xlfn.XLOOKUP(C864,customers!$A:$A,customers!$C:$C,,0)=0,"",_xlfn.XLOOKUP(C864,customers!$A:$A,customers!$C:$C,,0))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13"/>
        <v>9.9499999999999993</v>
      </c>
      <c r="N864" t="s">
        <v>6197</v>
      </c>
      <c r="O864" t="str" cm="1">
        <f t="array" ref="O864">_xlfn.IFS(J864="M","Medium", J864="L","Light", J864="D","Dark")</f>
        <v>Medium</v>
      </c>
      <c r="P864" t="str">
        <f>_xlfn.XLOOKUP(orders!$C$2:$C$1001,customers!$A$2:$A$1001,customers!$I$2:$I$1001,,0)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IF(_xlfn.XLOOKUP(C865,customers!$A:$A,customers!$C:$C,,0)=0,"",_xlfn.XLOOKUP(C865,customers!$A:$A,customers!$C:$C,,0))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13"/>
        <v>29.1</v>
      </c>
      <c r="N865" t="s">
        <v>6200</v>
      </c>
      <c r="O865" t="str" cm="1">
        <f t="array" ref="O865">_xlfn.IFS(J865="M","Medium", J865="L","Light", J865="D","Dark")</f>
        <v>Medium</v>
      </c>
      <c r="P865" t="str">
        <f>_xlfn.XLOOKUP(orders!$C$2:$C$1001,customers!$A$2:$A$1001,customers!$I$2:$I$1001,,0)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IF(_xlfn.XLOOKUP(C866,customers!$A:$A,customers!$C:$C,,0)=0,"",_xlfn.XLOOKUP(C866,customers!$A:$A,customers!$C:$C,,0))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13"/>
        <v>21.509999999999998</v>
      </c>
      <c r="N866" t="s">
        <v>6197</v>
      </c>
      <c r="O866" t="str" cm="1">
        <f t="array" ref="O866">_xlfn.IFS(J866="M","Medium", J866="L","Light", J866="D","Dark")</f>
        <v>Light</v>
      </c>
      <c r="P866" t="str">
        <f>_xlfn.XLOOKUP(orders!$C$2:$C$1001,customers!$A$2:$A$1001,customers!$I$2:$I$1001,,0)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IF(_xlfn.XLOOKUP(C867,customers!$A:$A,customers!$C:$C,,0)=0,"",_xlfn.XLOOKUP(C867,customers!$A:$A,customers!$C:$C,,0))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13"/>
        <v>6.75</v>
      </c>
      <c r="N867" t="s">
        <v>6199</v>
      </c>
      <c r="O867" t="str" cm="1">
        <f t="array" ref="O867">_xlfn.IFS(J867="M","Medium", J867="L","Light", J867="D","Dark")</f>
        <v>Medium</v>
      </c>
      <c r="P867" t="str">
        <f>_xlfn.XLOOKUP(orders!$C$2:$C$1001,customers!$A$2:$A$1001,customers!$I$2:$I$1001,,0)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IF(_xlfn.XLOOKUP(C868,customers!$A:$A,customers!$C:$C,,0)=0,"",_xlfn.XLOOKUP(C868,customers!$A:$A,customers!$C:$C,,0))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13"/>
        <v>17.91</v>
      </c>
      <c r="N868" t="s">
        <v>6199</v>
      </c>
      <c r="O868" t="str" cm="1">
        <f t="array" ref="O868">_xlfn.IFS(J868="M","Medium", J868="L","Light", J868="D","Dark")</f>
        <v>Dark</v>
      </c>
      <c r="P868" t="str">
        <f>_xlfn.XLOOKUP(orders!$C$2:$C$1001,customers!$A$2:$A$1001,customers!$I$2:$I$1001,,0)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IF(_xlfn.XLOOKUP(C869,customers!$A:$A,customers!$C:$C,,0)=0,"",_xlfn.XLOOKUP(C869,customers!$A:$A,customers!$C:$C,,0))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13"/>
        <v>29.784999999999997</v>
      </c>
      <c r="N869" t="s">
        <v>6199</v>
      </c>
      <c r="O869" t="str" cm="1">
        <f t="array" ref="O869">_xlfn.IFS(J869="M","Medium", J869="L","Light", J869="D","Dark")</f>
        <v>Light</v>
      </c>
      <c r="P869" t="str">
        <f>_xlfn.XLOOKUP(orders!$C$2:$C$1001,customers!$A$2:$A$1001,customers!$I$2:$I$1001,,0)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IF(_xlfn.XLOOKUP(C870,customers!$A:$A,customers!$C:$C,,0)=0,"",_xlfn.XLOOKUP(C870,customers!$A:$A,customers!$C:$C,,0))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13"/>
        <v>41.25</v>
      </c>
      <c r="N870" t="s">
        <v>6198</v>
      </c>
      <c r="O870" t="str" cm="1">
        <f t="array" ref="O870">_xlfn.IFS(J870="M","Medium", J870="L","Light", J870="D","Dark")</f>
        <v>Medium</v>
      </c>
      <c r="P870" t="str">
        <f>_xlfn.XLOOKUP(orders!$C$2:$C$1001,customers!$A$2:$A$1001,customers!$I$2:$I$1001,,0)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IF(_xlfn.XLOOKUP(C871,customers!$A:$A,customers!$C:$C,,0)=0,"",_xlfn.XLOOKUP(C871,customers!$A:$A,customers!$C:$C,,0))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13"/>
        <v>17.91</v>
      </c>
      <c r="N871" t="s">
        <v>6197</v>
      </c>
      <c r="O871" t="str" cm="1">
        <f t="array" ref="O871">_xlfn.IFS(J871="M","Medium", J871="L","Light", J871="D","Dark")</f>
        <v>Medium</v>
      </c>
      <c r="P871" t="str">
        <f>_xlfn.XLOOKUP(orders!$C$2:$C$1001,customers!$A$2:$A$1001,customers!$I$2:$I$1001,,0)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IF(_xlfn.XLOOKUP(C872,customers!$A:$A,customers!$C:$C,,0)=0,"",_xlfn.XLOOKUP(C872,customers!$A:$A,customers!$C:$C,,0))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13"/>
        <v>7.29</v>
      </c>
      <c r="N872" t="s">
        <v>6198</v>
      </c>
      <c r="O872" t="str" cm="1">
        <f t="array" ref="O872">_xlfn.IFS(J872="M","Medium", J872="L","Light", J872="D","Dark")</f>
        <v>Dark</v>
      </c>
      <c r="P872" t="str">
        <f>_xlfn.XLOOKUP(orders!$C$2:$C$1001,customers!$A$2:$A$1001,customers!$I$2:$I$1001,,0)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IF(_xlfn.XLOOKUP(C873,customers!$A:$A,customers!$C:$C,,0)=0,"",_xlfn.XLOOKUP(C873,customers!$A:$A,customers!$C:$C,,0))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13"/>
        <v>29.7</v>
      </c>
      <c r="N873" t="s">
        <v>6198</v>
      </c>
      <c r="O873" t="str" cm="1">
        <f t="array" ref="O873">_xlfn.IFS(J873="M","Medium", J873="L","Light", J873="D","Dark")</f>
        <v>Light</v>
      </c>
      <c r="P873" t="str">
        <f>_xlfn.XLOOKUP(orders!$C$2:$C$1001,customers!$A$2:$A$1001,customers!$I$2:$I$1001,,0)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IF(_xlfn.XLOOKUP(C874,customers!$A:$A,customers!$C:$C,,0)=0,"",_xlfn.XLOOKUP(C874,customers!$A:$A,customers!$C:$C,,0))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13"/>
        <v>22.5</v>
      </c>
      <c r="N874" t="s">
        <v>6199</v>
      </c>
      <c r="O874" t="str" cm="1">
        <f t="array" ref="O874">_xlfn.IFS(J874="M","Medium", J874="L","Light", J874="D","Dark")</f>
        <v>Medium</v>
      </c>
      <c r="P874" t="str">
        <f>_xlfn.XLOOKUP(orders!$C$2:$C$1001,customers!$A$2:$A$1001,customers!$I$2:$I$1001,,0)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IF(_xlfn.XLOOKUP(C875,customers!$A:$A,customers!$C:$C,,0)=0,"",_xlfn.XLOOKUP(C875,customers!$A:$A,customers!$C:$C,,0))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13"/>
        <v>11.94</v>
      </c>
      <c r="N875" t="s">
        <v>6197</v>
      </c>
      <c r="O875" t="str" cm="1">
        <f t="array" ref="O875">_xlfn.IFS(J875="M","Medium", J875="L","Light", J875="D","Dark")</f>
        <v>Medium</v>
      </c>
      <c r="P875" t="str">
        <f>_xlfn.XLOOKUP(orders!$C$2:$C$1001,customers!$A$2:$A$1001,customers!$I$2:$I$1001,,0)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IF(_xlfn.XLOOKUP(C876,customers!$A:$A,customers!$C:$C,,0)=0,"",_xlfn.XLOOKUP(C876,customers!$A:$A,customers!$C:$C,,0))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13"/>
        <v>25.9</v>
      </c>
      <c r="N876" t="s">
        <v>6199</v>
      </c>
      <c r="O876" t="str" cm="1">
        <f t="array" ref="O876">_xlfn.IFS(J876="M","Medium", J876="L","Light", J876="D","Dark")</f>
        <v>Light</v>
      </c>
      <c r="P876" t="str">
        <f>_xlfn.XLOOKUP(orders!$C$2:$C$1001,customers!$A$2:$A$1001,customers!$I$2:$I$1001,,0)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IF(_xlfn.XLOOKUP(C877,customers!$A:$A,customers!$C:$C,,0)=0,"",_xlfn.XLOOKUP(C877,customers!$A:$A,customers!$C:$C,,0))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13"/>
        <v>43.650000000000006</v>
      </c>
      <c r="N877" t="s">
        <v>6200</v>
      </c>
      <c r="O877" t="str" cm="1">
        <f t="array" ref="O877">_xlfn.IFS(J877="M","Medium", J877="L","Light", J877="D","Dark")</f>
        <v>Medium</v>
      </c>
      <c r="P877" t="str">
        <f>_xlfn.XLOOKUP(orders!$C$2:$C$1001,customers!$A$2:$A$1001,customers!$I$2:$I$1001,,0)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IF(_xlfn.XLOOKUP(C878,customers!$A:$A,customers!$C:$C,,0)=0,"",_xlfn.XLOOKUP(C878,customers!$A:$A,customers!$C:$C,,0))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13"/>
        <v>46.62</v>
      </c>
      <c r="N878" t="s">
        <v>6199</v>
      </c>
      <c r="O878" t="str" cm="1">
        <f t="array" ref="O878">_xlfn.IFS(J878="M","Medium", J878="L","Light", J878="D","Dark")</f>
        <v>Light</v>
      </c>
      <c r="P878" t="str">
        <f>_xlfn.XLOOKUP(orders!$C$2:$C$1001,customers!$A$2:$A$1001,customers!$I$2:$I$1001,,0)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IF(_xlfn.XLOOKUP(C879,customers!$A:$A,customers!$C:$C,,0)=0,"",_xlfn.XLOOKUP(C879,customers!$A:$A,customers!$C:$C,,0))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13"/>
        <v>28.53</v>
      </c>
      <c r="N879" t="s">
        <v>6200</v>
      </c>
      <c r="O879" t="str" cm="1">
        <f t="array" ref="O879">_xlfn.IFS(J879="M","Medium", J879="L","Light", J879="D","Dark")</f>
        <v>Light</v>
      </c>
      <c r="P879" t="str">
        <f>_xlfn.XLOOKUP(orders!$C$2:$C$1001,customers!$A$2:$A$1001,customers!$I$2:$I$1001,,0)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IF(_xlfn.XLOOKUP(C880,customers!$A:$A,customers!$C:$C,,0)=0,"",_xlfn.XLOOKUP(C880,customers!$A:$A,customers!$C:$C,,0))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13"/>
        <v>27.484999999999996</v>
      </c>
      <c r="N880" t="s">
        <v>6197</v>
      </c>
      <c r="O880" t="str" cm="1">
        <f t="array" ref="O880">_xlfn.IFS(J880="M","Medium", J880="L","Light", J880="D","Dark")</f>
        <v>Light</v>
      </c>
      <c r="P880" t="str">
        <f>_xlfn.XLOOKUP(orders!$C$2:$C$1001,customers!$A$2:$A$1001,customers!$I$2:$I$1001,,0)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IF(_xlfn.XLOOKUP(C881,customers!$A:$A,customers!$C:$C,,0)=0,"",_xlfn.XLOOKUP(C881,customers!$A:$A,customers!$C:$C,,0))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13"/>
        <v>10.935</v>
      </c>
      <c r="N881" t="s">
        <v>6198</v>
      </c>
      <c r="O881" t="str" cm="1">
        <f t="array" ref="O881">_xlfn.IFS(J881="M","Medium", J881="L","Light", J881="D","Dark")</f>
        <v>Dark</v>
      </c>
      <c r="P881" t="str">
        <f>_xlfn.XLOOKUP(orders!$C$2:$C$1001,customers!$A$2:$A$1001,customers!$I$2:$I$1001,,0)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IF(_xlfn.XLOOKUP(C882,customers!$A:$A,customers!$C:$C,,0)=0,"",_xlfn.XLOOKUP(C882,customers!$A:$A,customers!$C:$C,,0))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13"/>
        <v>7.169999999999999</v>
      </c>
      <c r="N882" t="s">
        <v>6197</v>
      </c>
      <c r="O882" t="str" cm="1">
        <f t="array" ref="O882">_xlfn.IFS(J882="M","Medium", J882="L","Light", J882="D","Dark")</f>
        <v>Light</v>
      </c>
      <c r="P882" t="str">
        <f>_xlfn.XLOOKUP(orders!$C$2:$C$1001,customers!$A$2:$A$1001,customers!$I$2:$I$1001,,0)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IF(_xlfn.XLOOKUP(C883,customers!$A:$A,customers!$C:$C,,0)=0,"",_xlfn.XLOOKUP(C883,customers!$A:$A,customers!$C:$C,,0))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13"/>
        <v>23.31</v>
      </c>
      <c r="N883" t="s">
        <v>6199</v>
      </c>
      <c r="O883" t="str" cm="1">
        <f t="array" ref="O883">_xlfn.IFS(J883="M","Medium", J883="L","Light", J883="D","Dark")</f>
        <v>Light</v>
      </c>
      <c r="P883" t="str">
        <f>_xlfn.XLOOKUP(orders!$C$2:$C$1001,customers!$A$2:$A$1001,customers!$I$2:$I$1001,,0)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IF(_xlfn.XLOOKUP(C884,customers!$A:$A,customers!$C:$C,,0)=0,"",_xlfn.XLOOKUP(C884,customers!$A:$A,customers!$C:$C,,0))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13"/>
        <v>114.42499999999998</v>
      </c>
      <c r="N884" t="s">
        <v>6199</v>
      </c>
      <c r="O884" t="str" cm="1">
        <f t="array" ref="O884">_xlfn.IFS(J884="M","Medium", J884="L","Light", J884="D","Dark")</f>
        <v>Dark</v>
      </c>
      <c r="P884" t="str">
        <f>_xlfn.XLOOKUP(orders!$C$2:$C$1001,customers!$A$2:$A$1001,customers!$I$2:$I$1001,,0)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IF(_xlfn.XLOOKUP(C885,customers!$A:$A,customers!$C:$C,,0)=0,"",_xlfn.XLOOKUP(C885,customers!$A:$A,customers!$C:$C,,0))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13"/>
        <v>77.624999999999986</v>
      </c>
      <c r="N885" t="s">
        <v>6199</v>
      </c>
      <c r="O885" t="str" cm="1">
        <f t="array" ref="O885">_xlfn.IFS(J885="M","Medium", J885="L","Light", J885="D","Dark")</f>
        <v>Medium</v>
      </c>
      <c r="P885" t="str">
        <f>_xlfn.XLOOKUP(orders!$C$2:$C$1001,customers!$A$2:$A$1001,customers!$I$2:$I$1001,,0)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IF(_xlfn.XLOOKUP(C886,customers!$A:$A,customers!$C:$C,,0)=0,"",_xlfn.XLOOKUP(C886,customers!$A:$A,customers!$C:$C,,0))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13"/>
        <v>5.3699999999999992</v>
      </c>
      <c r="N886" t="s">
        <v>6197</v>
      </c>
      <c r="O886" t="str" cm="1">
        <f t="array" ref="O886">_xlfn.IFS(J886="M","Medium", J886="L","Light", J886="D","Dark")</f>
        <v>Dark</v>
      </c>
      <c r="P886" t="str">
        <f>_xlfn.XLOOKUP(orders!$C$2:$C$1001,customers!$A$2:$A$1001,customers!$I$2:$I$1001,,0)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IF(_xlfn.XLOOKUP(C887,customers!$A:$A,customers!$C:$C,,0)=0,"",_xlfn.XLOOKUP(C887,customers!$A:$A,customers!$C:$C,,0))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13"/>
        <v>123.50999999999999</v>
      </c>
      <c r="N887" t="s">
        <v>6197</v>
      </c>
      <c r="O887" t="str" cm="1">
        <f t="array" ref="O887">_xlfn.IFS(J887="M","Medium", J887="L","Light", J887="D","Dark")</f>
        <v>Dark</v>
      </c>
      <c r="P887" t="str">
        <f>_xlfn.XLOOKUP(orders!$C$2:$C$1001,customers!$A$2:$A$1001,customers!$I$2:$I$1001,,0)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IF(_xlfn.XLOOKUP(C888,customers!$A:$A,customers!$C:$C,,0)=0,"",_xlfn.XLOOKUP(C888,customers!$A:$A,customers!$C:$C,,0))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13"/>
        <v>17.46</v>
      </c>
      <c r="N888" t="s">
        <v>6200</v>
      </c>
      <c r="O888" t="str" cm="1">
        <f t="array" ref="O888">_xlfn.IFS(J888="M","Medium", J888="L","Light", J888="D","Dark")</f>
        <v>Medium</v>
      </c>
      <c r="P888" t="str">
        <f>_xlfn.XLOOKUP(orders!$C$2:$C$1001,customers!$A$2:$A$1001,customers!$I$2:$I$1001,,0)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IF(_xlfn.XLOOKUP(C889,customers!$A:$A,customers!$C:$C,,0)=0,"",_xlfn.XLOOKUP(C889,customers!$A:$A,customers!$C:$C,,0))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13"/>
        <v>13.365</v>
      </c>
      <c r="N889" t="s">
        <v>6198</v>
      </c>
      <c r="O889" t="str" cm="1">
        <f t="array" ref="O889">_xlfn.IFS(J889="M","Medium", J889="L","Light", J889="D","Dark")</f>
        <v>Light</v>
      </c>
      <c r="P889" t="str">
        <f>_xlfn.XLOOKUP(orders!$C$2:$C$1001,customers!$A$2:$A$1001,customers!$I$2:$I$1001,,0)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IF(_xlfn.XLOOKUP(C890,customers!$A:$A,customers!$C:$C,,0)=0,"",_xlfn.XLOOKUP(C890,customers!$A:$A,customers!$C:$C,,0))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13"/>
        <v>7.77</v>
      </c>
      <c r="N890" t="s">
        <v>6199</v>
      </c>
      <c r="O890" t="str" cm="1">
        <f t="array" ref="O890">_xlfn.IFS(J890="M","Medium", J890="L","Light", J890="D","Dark")</f>
        <v>Light</v>
      </c>
      <c r="P890" t="str">
        <f>_xlfn.XLOOKUP(orders!$C$2:$C$1001,customers!$A$2:$A$1001,customers!$I$2:$I$1001,,0)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IF(_xlfn.XLOOKUP(C891,customers!$A:$A,customers!$C:$C,,0)=0,"",_xlfn.XLOOKUP(C891,customers!$A:$A,customers!$C:$C,,0))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13"/>
        <v>2.6849999999999996</v>
      </c>
      <c r="N891" t="s">
        <v>6197</v>
      </c>
      <c r="O891" t="str" cm="1">
        <f t="array" ref="O891">_xlfn.IFS(J891="M","Medium", J891="L","Light", J891="D","Dark")</f>
        <v>Dark</v>
      </c>
      <c r="P891" t="str">
        <f>_xlfn.XLOOKUP(orders!$C$2:$C$1001,customers!$A$2:$A$1001,customers!$I$2:$I$1001,,0)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IF(_xlfn.XLOOKUP(C892,customers!$A:$A,customers!$C:$C,,0)=0,"",_xlfn.XLOOKUP(C892,customers!$A:$A,customers!$C:$C,,0))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13"/>
        <v>20.584999999999997</v>
      </c>
      <c r="N892" t="s">
        <v>6197</v>
      </c>
      <c r="O892" t="str" cm="1">
        <f t="array" ref="O892">_xlfn.IFS(J892="M","Medium", J892="L","Light", J892="D","Dark")</f>
        <v>Dark</v>
      </c>
      <c r="P892" t="str">
        <f>_xlfn.XLOOKUP(orders!$C$2:$C$1001,customers!$A$2:$A$1001,customers!$I$2:$I$1001,,0)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IF(_xlfn.XLOOKUP(C893,customers!$A:$A,customers!$C:$C,,0)=0,"",_xlfn.XLOOKUP(C893,customers!$A:$A,customers!$C:$C,,0))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13"/>
        <v>114.42499999999998</v>
      </c>
      <c r="N893" t="s">
        <v>6199</v>
      </c>
      <c r="O893" t="str" cm="1">
        <f t="array" ref="O893">_xlfn.IFS(J893="M","Medium", J893="L","Light", J893="D","Dark")</f>
        <v>Dark</v>
      </c>
      <c r="P893" t="str">
        <f>_xlfn.XLOOKUP(orders!$C$2:$C$1001,customers!$A$2:$A$1001,customers!$I$2:$I$1001,,0)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IF(_xlfn.XLOOKUP(C894,customers!$A:$A,customers!$C:$C,,0)=0,"",_xlfn.XLOOKUP(C894,customers!$A:$A,customers!$C:$C,,0))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13"/>
        <v>20.625</v>
      </c>
      <c r="N894" t="s">
        <v>6198</v>
      </c>
      <c r="O894" t="str" cm="1">
        <f t="array" ref="O894">_xlfn.IFS(J894="M","Medium", J894="L","Light", J894="D","Dark")</f>
        <v>Medium</v>
      </c>
      <c r="P894" t="str">
        <f>_xlfn.XLOOKUP(orders!$C$2:$C$1001,customers!$A$2:$A$1001,customers!$I$2:$I$1001,,0)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IF(_xlfn.XLOOKUP(C895,customers!$A:$A,customers!$C:$C,,0)=0,"",_xlfn.XLOOKUP(C895,customers!$A:$A,customers!$C:$C,,0))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13"/>
        <v>57.06</v>
      </c>
      <c r="N895" t="s">
        <v>6200</v>
      </c>
      <c r="O895" t="str" cm="1">
        <f t="array" ref="O895">_xlfn.IFS(J895="M","Medium", J895="L","Light", J895="D","Dark")</f>
        <v>Light</v>
      </c>
      <c r="P895" t="str">
        <f>_xlfn.XLOOKUP(orders!$C$2:$C$1001,customers!$A$2:$A$1001,customers!$I$2:$I$1001,,0)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IF(_xlfn.XLOOKUP(C896,customers!$A:$A,customers!$C:$C,,0)=0,"",_xlfn.XLOOKUP(C896,customers!$A:$A,customers!$C:$C,,0))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13"/>
        <v>82.339999999999989</v>
      </c>
      <c r="N896" t="s">
        <v>6197</v>
      </c>
      <c r="O896" t="str" cm="1">
        <f t="array" ref="O896">_xlfn.IFS(J896="M","Medium", J896="L","Light", J896="D","Dark")</f>
        <v>Dark</v>
      </c>
      <c r="P896" t="str">
        <f>_xlfn.XLOOKUP(orders!$C$2:$C$1001,customers!$A$2:$A$1001,customers!$I$2:$I$1001,,0)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IF(_xlfn.XLOOKUP(C897,customers!$A:$A,customers!$C:$C,,0)=0,"",_xlfn.XLOOKUP(C897,customers!$A:$A,customers!$C:$C,,0))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13"/>
        <v>158.12499999999997</v>
      </c>
      <c r="N897" t="s">
        <v>6198</v>
      </c>
      <c r="O897" t="str" cm="1">
        <f t="array" ref="O897">_xlfn.IFS(J897="M","Medium", J897="L","Light", J897="D","Dark")</f>
        <v>Medium</v>
      </c>
      <c r="P897" t="str">
        <f>_xlfn.XLOOKUP(orders!$C$2:$C$1001,customers!$A$2:$A$1001,customers!$I$2:$I$1001,,0)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IF(_xlfn.XLOOKUP(C898,customers!$A:$A,customers!$C:$C,,0)=0,"",_xlfn.XLOOKUP(C898,customers!$A:$A,customers!$C:$C,,0))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13"/>
        <v>32.22</v>
      </c>
      <c r="N898" t="s">
        <v>6197</v>
      </c>
      <c r="O898" t="str" cm="1">
        <f t="array" ref="O898">_xlfn.IFS(J898="M","Medium", J898="L","Light", J898="D","Dark")</f>
        <v>Dark</v>
      </c>
      <c r="P898" t="str">
        <f>_xlfn.XLOOKUP(orders!$C$2:$C$1001,customers!$A$2:$A$1001,customers!$I$2:$I$1001,,0)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IF(_xlfn.XLOOKUP(C899,customers!$A:$A,customers!$C:$C,,0)=0,"",_xlfn.XLOOKUP(C899,customers!$A:$A,customers!$C:$C,,0))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14">L899*E899</f>
        <v>24.3</v>
      </c>
      <c r="N899" t="s">
        <v>6198</v>
      </c>
      <c r="O899" t="str" cm="1">
        <f t="array" ref="O899">_xlfn.IFS(J899="M","Medium", J899="L","Light", J899="D","Dark")</f>
        <v>Dark</v>
      </c>
      <c r="P899" t="str">
        <f>_xlfn.XLOOKUP(orders!$C$2:$C$1001,customers!$A$2:$A$1001,customers!$I$2:$I$1001,,0)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IF(_xlfn.XLOOKUP(C900,customers!$A:$A,customers!$C:$C,,0)=0,"",_xlfn.XLOOKUP(C900,customers!$A:$A,customers!$C:$C,,0))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14"/>
        <v>35.849999999999994</v>
      </c>
      <c r="N900" t="s">
        <v>6197</v>
      </c>
      <c r="O900" t="str" cm="1">
        <f t="array" ref="O900">_xlfn.IFS(J900="M","Medium", J900="L","Light", J900="D","Dark")</f>
        <v>Light</v>
      </c>
      <c r="P900" t="str">
        <f>_xlfn.XLOOKUP(orders!$C$2:$C$1001,customers!$A$2:$A$1001,customers!$I$2:$I$1001,,0)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IF(_xlfn.XLOOKUP(C901,customers!$A:$A,customers!$C:$C,,0)=0,"",_xlfn.XLOOKUP(C901,customers!$A:$A,customers!$C:$C,,0))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14"/>
        <v>72.75</v>
      </c>
      <c r="N901" t="s">
        <v>6200</v>
      </c>
      <c r="O901" t="str" cm="1">
        <f t="array" ref="O901">_xlfn.IFS(J901="M","Medium", J901="L","Light", J901="D","Dark")</f>
        <v>Medium</v>
      </c>
      <c r="P901" t="str">
        <f>_xlfn.XLOOKUP(orders!$C$2:$C$1001,customers!$A$2:$A$1001,customers!$I$2:$I$1001,,0)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IF(_xlfn.XLOOKUP(C902,customers!$A:$A,customers!$C:$C,,0)=0,"",_xlfn.XLOOKUP(C902,customers!$A:$A,customers!$C:$C,,0))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14"/>
        <v>47.55</v>
      </c>
      <c r="N902" t="s">
        <v>6200</v>
      </c>
      <c r="O902" t="str" cm="1">
        <f t="array" ref="O902">_xlfn.IFS(J902="M","Medium", J902="L","Light", J902="D","Dark")</f>
        <v>Light</v>
      </c>
      <c r="P902" t="str">
        <f>_xlfn.XLOOKUP(orders!$C$2:$C$1001,customers!$A$2:$A$1001,customers!$I$2:$I$1001,,0)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IF(_xlfn.XLOOKUP(C903,customers!$A:$A,customers!$C:$C,,0)=0,"",_xlfn.XLOOKUP(C903,customers!$A:$A,customers!$C:$C,,0))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14"/>
        <v>3.5849999999999995</v>
      </c>
      <c r="N903" t="s">
        <v>6197</v>
      </c>
      <c r="O903" t="str" cm="1">
        <f t="array" ref="O903">_xlfn.IFS(J903="M","Medium", J903="L","Light", J903="D","Dark")</f>
        <v>Light</v>
      </c>
      <c r="P903" t="str">
        <f>_xlfn.XLOOKUP(orders!$C$2:$C$1001,customers!$A$2:$A$1001,customers!$I$2:$I$1001,,0)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IF(_xlfn.XLOOKUP(C904,customers!$A:$A,customers!$C:$C,,0)=0,"",_xlfn.XLOOKUP(C904,customers!$A:$A,customers!$C:$C,,0))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14"/>
        <v>158.12499999999997</v>
      </c>
      <c r="N904" t="s">
        <v>6198</v>
      </c>
      <c r="O904" t="str" cm="1">
        <f t="array" ref="O904">_xlfn.IFS(J904="M","Medium", J904="L","Light", J904="D","Dark")</f>
        <v>Medium</v>
      </c>
      <c r="P904" t="str">
        <f>_xlfn.XLOOKUP(orders!$C$2:$C$1001,customers!$A$2:$A$1001,customers!$I$2:$I$1001,,0)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IF(_xlfn.XLOOKUP(C905,customers!$A:$A,customers!$C:$C,,0)=0,"",_xlfn.XLOOKUP(C905,customers!$A:$A,customers!$C:$C,,0))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14"/>
        <v>17.46</v>
      </c>
      <c r="N905" t="s">
        <v>6200</v>
      </c>
      <c r="O905" t="str" cm="1">
        <f t="array" ref="O905">_xlfn.IFS(J905="M","Medium", J905="L","Light", J905="D","Dark")</f>
        <v>Medium</v>
      </c>
      <c r="P905" t="str">
        <f>_xlfn.XLOOKUP(orders!$C$2:$C$1001,customers!$A$2:$A$1001,customers!$I$2:$I$1001,,0)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IF(_xlfn.XLOOKUP(C906,customers!$A:$A,customers!$C:$C,,0)=0,"",_xlfn.XLOOKUP(C906,customers!$A:$A,customers!$C:$C,,0))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14"/>
        <v>148.92499999999998</v>
      </c>
      <c r="N906" t="s">
        <v>6199</v>
      </c>
      <c r="O906" t="str" cm="1">
        <f t="array" ref="O906">_xlfn.IFS(J906="M","Medium", J906="L","Light", J906="D","Dark")</f>
        <v>Light</v>
      </c>
      <c r="P906" t="str">
        <f>_xlfn.XLOOKUP(orders!$C$2:$C$1001,customers!$A$2:$A$1001,customers!$I$2:$I$1001,,0)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IF(_xlfn.XLOOKUP(C907,customers!$A:$A,customers!$C:$C,,0)=0,"",_xlfn.XLOOKUP(C907,customers!$A:$A,customers!$C:$C,,0))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14"/>
        <v>40.5</v>
      </c>
      <c r="N907" t="s">
        <v>6199</v>
      </c>
      <c r="O907" t="str" cm="1">
        <f t="array" ref="O907">_xlfn.IFS(J907="M","Medium", J907="L","Light", J907="D","Dark")</f>
        <v>Medium</v>
      </c>
      <c r="P907" t="str">
        <f>_xlfn.XLOOKUP(orders!$C$2:$C$1001,customers!$A$2:$A$1001,customers!$I$2:$I$1001,,0)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IF(_xlfn.XLOOKUP(C908,customers!$A:$A,customers!$C:$C,,0)=0,"",_xlfn.XLOOKUP(C908,customers!$A:$A,customers!$C:$C,,0))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14"/>
        <v>27</v>
      </c>
      <c r="N908" t="s">
        <v>6199</v>
      </c>
      <c r="O908" t="str" cm="1">
        <f t="array" ref="O908">_xlfn.IFS(J908="M","Medium", J908="L","Light", J908="D","Dark")</f>
        <v>Medium</v>
      </c>
      <c r="P908" t="str">
        <f>_xlfn.XLOOKUP(orders!$C$2:$C$1001,customers!$A$2:$A$1001,customers!$I$2:$I$1001,,0)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IF(_xlfn.XLOOKUP(C909,customers!$A:$A,customers!$C:$C,,0)=0,"",_xlfn.XLOOKUP(C909,customers!$A:$A,customers!$C:$C,,0))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14"/>
        <v>38.849999999999994</v>
      </c>
      <c r="N909" t="s">
        <v>6200</v>
      </c>
      <c r="O909" t="str" cm="1">
        <f t="array" ref="O909">_xlfn.IFS(J909="M","Medium", J909="L","Light", J909="D","Dark")</f>
        <v>Dark</v>
      </c>
      <c r="P909" t="str">
        <f>_xlfn.XLOOKUP(orders!$C$2:$C$1001,customers!$A$2:$A$1001,customers!$I$2:$I$1001,,0)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IF(_xlfn.XLOOKUP(C910,customers!$A:$A,customers!$C:$C,,0)=0,"",_xlfn.XLOOKUP(C910,customers!$A:$A,customers!$C:$C,,0))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14"/>
        <v>59.75</v>
      </c>
      <c r="N910" t="s">
        <v>6197</v>
      </c>
      <c r="O910" t="str" cm="1">
        <f t="array" ref="O910">_xlfn.IFS(J910="M","Medium", J910="L","Light", J910="D","Dark")</f>
        <v>Light</v>
      </c>
      <c r="P910" t="str">
        <f>_xlfn.XLOOKUP(orders!$C$2:$C$1001,customers!$A$2:$A$1001,customers!$I$2:$I$1001,,0)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IF(_xlfn.XLOOKUP(C911,customers!$A:$A,customers!$C:$C,,0)=0,"",_xlfn.XLOOKUP(C911,customers!$A:$A,customers!$C:$C,,0))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14"/>
        <v>10.754999999999999</v>
      </c>
      <c r="N911" t="s">
        <v>6197</v>
      </c>
      <c r="O911" t="str" cm="1">
        <f t="array" ref="O911">_xlfn.IFS(J911="M","Medium", J911="L","Light", J911="D","Dark")</f>
        <v>Light</v>
      </c>
      <c r="P911" t="str">
        <f>_xlfn.XLOOKUP(orders!$C$2:$C$1001,customers!$A$2:$A$1001,customers!$I$2:$I$1001,,0)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IF(_xlfn.XLOOKUP(C912,customers!$A:$A,customers!$C:$C,,0)=0,"",_xlfn.XLOOKUP(C912,customers!$A:$A,customers!$C:$C,,0))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14"/>
        <v>91.539999999999992</v>
      </c>
      <c r="N912" t="s">
        <v>6199</v>
      </c>
      <c r="O912" t="str" cm="1">
        <f t="array" ref="O912">_xlfn.IFS(J912="M","Medium", J912="L","Light", J912="D","Dark")</f>
        <v>Dark</v>
      </c>
      <c r="P912" t="str">
        <f>_xlfn.XLOOKUP(orders!$C$2:$C$1001,customers!$A$2:$A$1001,customers!$I$2:$I$1001,,0)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IF(_xlfn.XLOOKUP(C913,customers!$A:$A,customers!$C:$C,,0)=0,"",_xlfn.XLOOKUP(C913,customers!$A:$A,customers!$C:$C,,0))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14"/>
        <v>45</v>
      </c>
      <c r="N913" t="s">
        <v>6199</v>
      </c>
      <c r="O913" t="str" cm="1">
        <f t="array" ref="O913">_xlfn.IFS(J913="M","Medium", J913="L","Light", J913="D","Dark")</f>
        <v>Medium</v>
      </c>
      <c r="P913" t="str">
        <f>_xlfn.XLOOKUP(orders!$C$2:$C$1001,customers!$A$2:$A$1001,customers!$I$2:$I$1001,,0)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IF(_xlfn.XLOOKUP(C914,customers!$A:$A,customers!$C:$C,,0)=0,"",_xlfn.XLOOKUP(C914,customers!$A:$A,customers!$C:$C,,0))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14"/>
        <v>137.31</v>
      </c>
      <c r="N914" t="s">
        <v>6197</v>
      </c>
      <c r="O914" t="str" cm="1">
        <f t="array" ref="O914">_xlfn.IFS(J914="M","Medium", J914="L","Light", J914="D","Dark")</f>
        <v>Medium</v>
      </c>
      <c r="P914" t="str">
        <f>_xlfn.XLOOKUP(orders!$C$2:$C$1001,customers!$A$2:$A$1001,customers!$I$2:$I$1001,,0)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IF(_xlfn.XLOOKUP(C915,customers!$A:$A,customers!$C:$C,,0)=0,"",_xlfn.XLOOKUP(C915,customers!$A:$A,customers!$C:$C,,0))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14"/>
        <v>6.75</v>
      </c>
      <c r="N915" t="s">
        <v>6199</v>
      </c>
      <c r="O915" t="str" cm="1">
        <f t="array" ref="O915">_xlfn.IFS(J915="M","Medium", J915="L","Light", J915="D","Dark")</f>
        <v>Medium</v>
      </c>
      <c r="P915" t="str">
        <f>_xlfn.XLOOKUP(orders!$C$2:$C$1001,customers!$A$2:$A$1001,customers!$I$2:$I$1001,,0)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IF(_xlfn.XLOOKUP(C916,customers!$A:$A,customers!$C:$C,,0)=0,"",_xlfn.XLOOKUP(C916,customers!$A:$A,customers!$C:$C,,0))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14"/>
        <v>45</v>
      </c>
      <c r="N916" t="s">
        <v>6199</v>
      </c>
      <c r="O916" t="str" cm="1">
        <f t="array" ref="O916">_xlfn.IFS(J916="M","Medium", J916="L","Light", J916="D","Dark")</f>
        <v>Medium</v>
      </c>
      <c r="P916" t="str">
        <f>_xlfn.XLOOKUP(orders!$C$2:$C$1001,customers!$A$2:$A$1001,customers!$I$2:$I$1001,,0)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IF(_xlfn.XLOOKUP(C917,customers!$A:$A,customers!$C:$C,,0)=0,"",_xlfn.XLOOKUP(C917,customers!$A:$A,customers!$C:$C,,0))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14"/>
        <v>83.835000000000008</v>
      </c>
      <c r="N917" t="s">
        <v>6198</v>
      </c>
      <c r="O917" t="str" cm="1">
        <f t="array" ref="O917">_xlfn.IFS(J917="M","Medium", J917="L","Light", J917="D","Dark")</f>
        <v>Dark</v>
      </c>
      <c r="P917" t="str">
        <f>_xlfn.XLOOKUP(orders!$C$2:$C$1001,customers!$A$2:$A$1001,customers!$I$2:$I$1001,,0)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IF(_xlfn.XLOOKUP(C918,customers!$A:$A,customers!$C:$C,,0)=0,"",_xlfn.XLOOKUP(C918,customers!$A:$A,customers!$C:$C,,0))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14"/>
        <v>3.645</v>
      </c>
      <c r="N918" t="s">
        <v>6198</v>
      </c>
      <c r="O918" t="str" cm="1">
        <f t="array" ref="O918">_xlfn.IFS(J918="M","Medium", J918="L","Light", J918="D","Dark")</f>
        <v>Dark</v>
      </c>
      <c r="P918" t="str">
        <f>_xlfn.XLOOKUP(orders!$C$2:$C$1001,customers!$A$2:$A$1001,customers!$I$2:$I$1001,,0)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IF(_xlfn.XLOOKUP(C919,customers!$A:$A,customers!$C:$C,,0)=0,"",_xlfn.XLOOKUP(C919,customers!$A:$A,customers!$C:$C,,0))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14"/>
        <v>6.75</v>
      </c>
      <c r="N919" t="s">
        <v>6199</v>
      </c>
      <c r="O919" t="str" cm="1">
        <f t="array" ref="O919">_xlfn.IFS(J919="M","Medium", J919="L","Light", J919="D","Dark")</f>
        <v>Medium</v>
      </c>
      <c r="P919" t="str">
        <f>_xlfn.XLOOKUP(orders!$C$2:$C$1001,customers!$A$2:$A$1001,customers!$I$2:$I$1001,,0)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IF(_xlfn.XLOOKUP(C920,customers!$A:$A,customers!$C:$C,,0)=0,"",_xlfn.XLOOKUP(C920,customers!$A:$A,customers!$C:$C,,0))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14"/>
        <v>21.87</v>
      </c>
      <c r="N920" t="s">
        <v>6198</v>
      </c>
      <c r="O920" t="str" cm="1">
        <f t="array" ref="O920">_xlfn.IFS(J920="M","Medium", J920="L","Light", J920="D","Dark")</f>
        <v>Dark</v>
      </c>
      <c r="P920" t="str">
        <f>_xlfn.XLOOKUP(orders!$C$2:$C$1001,customers!$A$2:$A$1001,customers!$I$2:$I$1001,,0)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IF(_xlfn.XLOOKUP(C921,customers!$A:$A,customers!$C:$C,,0)=0,"",_xlfn.XLOOKUP(C921,customers!$A:$A,customers!$C:$C,,0))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14"/>
        <v>13.424999999999997</v>
      </c>
      <c r="N921" t="s">
        <v>6197</v>
      </c>
      <c r="O921" t="str" cm="1">
        <f t="array" ref="O921">_xlfn.IFS(J921="M","Medium", J921="L","Light", J921="D","Dark")</f>
        <v>Dark</v>
      </c>
      <c r="P921" t="str">
        <f>_xlfn.XLOOKUP(orders!$C$2:$C$1001,customers!$A$2:$A$1001,customers!$I$2:$I$1001,,0)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IF(_xlfn.XLOOKUP(C922,customers!$A:$A,customers!$C:$C,,0)=0,"",_xlfn.XLOOKUP(C922,customers!$A:$A,customers!$C:$C,,0))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14"/>
        <v>123.50999999999999</v>
      </c>
      <c r="N922" t="s">
        <v>6197</v>
      </c>
      <c r="O922" t="str" cm="1">
        <f t="array" ref="O922">_xlfn.IFS(J922="M","Medium", J922="L","Light", J922="D","Dark")</f>
        <v>Dark</v>
      </c>
      <c r="P922" t="str">
        <f>_xlfn.XLOOKUP(orders!$C$2:$C$1001,customers!$A$2:$A$1001,customers!$I$2:$I$1001,,0)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IF(_xlfn.XLOOKUP(C923,customers!$A:$A,customers!$C:$C,,0)=0,"",_xlfn.XLOOKUP(C923,customers!$A:$A,customers!$C:$C,,0))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14"/>
        <v>7.77</v>
      </c>
      <c r="N923" t="s">
        <v>6200</v>
      </c>
      <c r="O923" t="str" cm="1">
        <f t="array" ref="O923">_xlfn.IFS(J923="M","Medium", J923="L","Light", J923="D","Dark")</f>
        <v>Dark</v>
      </c>
      <c r="P923" t="str">
        <f>_xlfn.XLOOKUP(orders!$C$2:$C$1001,customers!$A$2:$A$1001,customers!$I$2:$I$1001,,0)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IF(_xlfn.XLOOKUP(C924,customers!$A:$A,customers!$C:$C,,0)=0,"",_xlfn.XLOOKUP(C924,customers!$A:$A,customers!$C:$C,,0))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14"/>
        <v>67.5</v>
      </c>
      <c r="N924" t="s">
        <v>6199</v>
      </c>
      <c r="O924" t="str" cm="1">
        <f t="array" ref="O924">_xlfn.IFS(J924="M","Medium", J924="L","Light", J924="D","Dark")</f>
        <v>Medium</v>
      </c>
      <c r="P924" t="str">
        <f>_xlfn.XLOOKUP(orders!$C$2:$C$1001,customers!$A$2:$A$1001,customers!$I$2:$I$1001,,0)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IF(_xlfn.XLOOKUP(C925,customers!$A:$A,customers!$C:$C,,0)=0,"",_xlfn.XLOOKUP(C925,customers!$A:$A,customers!$C:$C,,0))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14"/>
        <v>27.945</v>
      </c>
      <c r="N925" t="s">
        <v>6198</v>
      </c>
      <c r="O925" t="str" cm="1">
        <f t="array" ref="O925">_xlfn.IFS(J925="M","Medium", J925="L","Light", J925="D","Dark")</f>
        <v>Dark</v>
      </c>
      <c r="P925" t="str">
        <f>_xlfn.XLOOKUP(orders!$C$2:$C$1001,customers!$A$2:$A$1001,customers!$I$2:$I$1001,,0)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IF(_xlfn.XLOOKUP(C926,customers!$A:$A,customers!$C:$C,,0)=0,"",_xlfn.XLOOKUP(C926,customers!$A:$A,customers!$C:$C,,0))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14"/>
        <v>89.35499999999999</v>
      </c>
      <c r="N926" t="s">
        <v>6199</v>
      </c>
      <c r="O926" t="str" cm="1">
        <f t="array" ref="O926">_xlfn.IFS(J926="M","Medium", J926="L","Light", J926="D","Dark")</f>
        <v>Light</v>
      </c>
      <c r="P926" t="str">
        <f>_xlfn.XLOOKUP(orders!$C$2:$C$1001,customers!$A$2:$A$1001,customers!$I$2:$I$1001,,0)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IF(_xlfn.XLOOKUP(C927,customers!$A:$A,customers!$C:$C,,0)=0,"",_xlfn.XLOOKUP(C927,customers!$A:$A,customers!$C:$C,,0))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14"/>
        <v>20.25</v>
      </c>
      <c r="N927" t="s">
        <v>6199</v>
      </c>
      <c r="O927" t="str" cm="1">
        <f t="array" ref="O927">_xlfn.IFS(J927="M","Medium", J927="L","Light", J927="D","Dark")</f>
        <v>Medium</v>
      </c>
      <c r="P927" t="str">
        <f>_xlfn.XLOOKUP(orders!$C$2:$C$1001,customers!$A$2:$A$1001,customers!$I$2:$I$1001,,0)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IF(_xlfn.XLOOKUP(C928,customers!$A:$A,customers!$C:$C,,0)=0,"",_xlfn.XLOOKUP(C928,customers!$A:$A,customers!$C:$C,,0))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14"/>
        <v>33.75</v>
      </c>
      <c r="N928" t="s">
        <v>6199</v>
      </c>
      <c r="O928" t="str" cm="1">
        <f t="array" ref="O928">_xlfn.IFS(J928="M","Medium", J928="L","Light", J928="D","Dark")</f>
        <v>Medium</v>
      </c>
      <c r="P928" t="str">
        <f>_xlfn.XLOOKUP(orders!$C$2:$C$1001,customers!$A$2:$A$1001,customers!$I$2:$I$1001,,0)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IF(_xlfn.XLOOKUP(C929,customers!$A:$A,customers!$C:$C,,0)=0,"",_xlfn.XLOOKUP(C929,customers!$A:$A,customers!$C:$C,,0))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14"/>
        <v>111.78</v>
      </c>
      <c r="N929" t="s">
        <v>6198</v>
      </c>
      <c r="O929" t="str" cm="1">
        <f t="array" ref="O929">_xlfn.IFS(J929="M","Medium", J929="L","Light", J929="D","Dark")</f>
        <v>Dark</v>
      </c>
      <c r="P929" t="str">
        <f>_xlfn.XLOOKUP(orders!$C$2:$C$1001,customers!$A$2:$A$1001,customers!$I$2:$I$1001,,0)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IF(_xlfn.XLOOKUP(C930,customers!$A:$A,customers!$C:$C,,0)=0,"",_xlfn.XLOOKUP(C930,customers!$A:$A,customers!$C:$C,,0))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14"/>
        <v>63.249999999999993</v>
      </c>
      <c r="N930" t="s">
        <v>6198</v>
      </c>
      <c r="O930" t="str" cm="1">
        <f t="array" ref="O930">_xlfn.IFS(J930="M","Medium", J930="L","Light", J930="D","Dark")</f>
        <v>Medium</v>
      </c>
      <c r="P930" t="str">
        <f>_xlfn.XLOOKUP(orders!$C$2:$C$1001,customers!$A$2:$A$1001,customers!$I$2:$I$1001,,0)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IF(_xlfn.XLOOKUP(C931,customers!$A:$A,customers!$C:$C,,0)=0,"",_xlfn.XLOOKUP(C931,customers!$A:$A,customers!$C:$C,,0))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14"/>
        <v>8.91</v>
      </c>
      <c r="N931" t="s">
        <v>6198</v>
      </c>
      <c r="O931" t="str" cm="1">
        <f t="array" ref="O931">_xlfn.IFS(J931="M","Medium", J931="L","Light", J931="D","Dark")</f>
        <v>Light</v>
      </c>
      <c r="P931" t="str">
        <f>_xlfn.XLOOKUP(orders!$C$2:$C$1001,customers!$A$2:$A$1001,customers!$I$2:$I$1001,,0)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IF(_xlfn.XLOOKUP(C932,customers!$A:$A,customers!$C:$C,,0)=0,"",_xlfn.XLOOKUP(C932,customers!$A:$A,customers!$C:$C,,0))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14"/>
        <v>12.15</v>
      </c>
      <c r="N932" t="s">
        <v>6198</v>
      </c>
      <c r="O932" t="str" cm="1">
        <f t="array" ref="O932">_xlfn.IFS(J932="M","Medium", J932="L","Light", J932="D","Dark")</f>
        <v>Dark</v>
      </c>
      <c r="P932" t="str">
        <f>_xlfn.XLOOKUP(orders!$C$2:$C$1001,customers!$A$2:$A$1001,customers!$I$2:$I$1001,,0)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IF(_xlfn.XLOOKUP(C933,customers!$A:$A,customers!$C:$C,,0)=0,"",_xlfn.XLOOKUP(C933,customers!$A:$A,customers!$C:$C,,0))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14"/>
        <v>23.88</v>
      </c>
      <c r="N933" t="s">
        <v>6199</v>
      </c>
      <c r="O933" t="str" cm="1">
        <f t="array" ref="O933">_xlfn.IFS(J933="M","Medium", J933="L","Light", J933="D","Dark")</f>
        <v>Dark</v>
      </c>
      <c r="P933" t="str">
        <f>_xlfn.XLOOKUP(orders!$C$2:$C$1001,customers!$A$2:$A$1001,customers!$I$2:$I$1001,,0)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IF(_xlfn.XLOOKUP(C934,customers!$A:$A,customers!$C:$C,,0)=0,"",_xlfn.XLOOKUP(C934,customers!$A:$A,customers!$C:$C,,0))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14"/>
        <v>55</v>
      </c>
      <c r="N934" t="s">
        <v>6198</v>
      </c>
      <c r="O934" t="str" cm="1">
        <f t="array" ref="O934">_xlfn.IFS(J934="M","Medium", J934="L","Light", J934="D","Dark")</f>
        <v>Medium</v>
      </c>
      <c r="P934" t="str">
        <f>_xlfn.XLOOKUP(orders!$C$2:$C$1001,customers!$A$2:$A$1001,customers!$I$2:$I$1001,,0)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IF(_xlfn.XLOOKUP(C935,customers!$A:$A,customers!$C:$C,,0)=0,"",_xlfn.XLOOKUP(C935,customers!$A:$A,customers!$C:$C,,0))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14"/>
        <v>26.849999999999998</v>
      </c>
      <c r="N935" t="s">
        <v>6197</v>
      </c>
      <c r="O935" t="str" cm="1">
        <f t="array" ref="O935">_xlfn.IFS(J935="M","Medium", J935="L","Light", J935="D","Dark")</f>
        <v>Dark</v>
      </c>
      <c r="P935" t="str">
        <f>_xlfn.XLOOKUP(orders!$C$2:$C$1001,customers!$A$2:$A$1001,customers!$I$2:$I$1001,,0)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IF(_xlfn.XLOOKUP(C936,customers!$A:$A,customers!$C:$C,,0)=0,"",_xlfn.XLOOKUP(C936,customers!$A:$A,customers!$C:$C,,0))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14"/>
        <v>114.42499999999998</v>
      </c>
      <c r="N936" t="s">
        <v>6197</v>
      </c>
      <c r="O936" t="str" cm="1">
        <f t="array" ref="O936">_xlfn.IFS(J936="M","Medium", J936="L","Light", J936="D","Dark")</f>
        <v>Medium</v>
      </c>
      <c r="P936" t="str">
        <f>_xlfn.XLOOKUP(orders!$C$2:$C$1001,customers!$A$2:$A$1001,customers!$I$2:$I$1001,,0)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IF(_xlfn.XLOOKUP(C937,customers!$A:$A,customers!$C:$C,,0)=0,"",_xlfn.XLOOKUP(C937,customers!$A:$A,customers!$C:$C,,0))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14"/>
        <v>155.24999999999997</v>
      </c>
      <c r="N937" t="s">
        <v>6199</v>
      </c>
      <c r="O937" t="str" cm="1">
        <f t="array" ref="O937">_xlfn.IFS(J937="M","Medium", J937="L","Light", J937="D","Dark")</f>
        <v>Medium</v>
      </c>
      <c r="P937" t="str">
        <f>_xlfn.XLOOKUP(orders!$C$2:$C$1001,customers!$A$2:$A$1001,customers!$I$2:$I$1001,,0)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IF(_xlfn.XLOOKUP(C938,customers!$A:$A,customers!$C:$C,,0)=0,"",_xlfn.XLOOKUP(C938,customers!$A:$A,customers!$C:$C,,0))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14"/>
        <v>23.31</v>
      </c>
      <c r="N938" t="s">
        <v>6200</v>
      </c>
      <c r="O938" t="str" cm="1">
        <f t="array" ref="O938">_xlfn.IFS(J938="M","Medium", J938="L","Light", J938="D","Dark")</f>
        <v>Dark</v>
      </c>
      <c r="P938" t="str">
        <f>_xlfn.XLOOKUP(orders!$C$2:$C$1001,customers!$A$2:$A$1001,customers!$I$2:$I$1001,,0)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IF(_xlfn.XLOOKUP(C939,customers!$A:$A,customers!$C:$C,,0)=0,"",_xlfn.XLOOKUP(C939,customers!$A:$A,customers!$C:$C,,0))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14"/>
        <v>91.539999999999992</v>
      </c>
      <c r="N939" t="s">
        <v>6197</v>
      </c>
      <c r="O939" t="str" cm="1">
        <f t="array" ref="O939">_xlfn.IFS(J939="M","Medium", J939="L","Light", J939="D","Dark")</f>
        <v>Medium</v>
      </c>
      <c r="P939" t="str">
        <f>_xlfn.XLOOKUP(orders!$C$2:$C$1001,customers!$A$2:$A$1001,customers!$I$2:$I$1001,,0)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IF(_xlfn.XLOOKUP(C940,customers!$A:$A,customers!$C:$C,,0)=0,"",_xlfn.XLOOKUP(C940,customers!$A:$A,customers!$C:$C,,0))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14"/>
        <v>74.25</v>
      </c>
      <c r="N940" t="s">
        <v>6198</v>
      </c>
      <c r="O940" t="str" cm="1">
        <f t="array" ref="O940">_xlfn.IFS(J940="M","Medium", J940="L","Light", J940="D","Dark")</f>
        <v>Light</v>
      </c>
      <c r="P940" t="str">
        <f>_xlfn.XLOOKUP(orders!$C$2:$C$1001,customers!$A$2:$A$1001,customers!$I$2:$I$1001,,0)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IF(_xlfn.XLOOKUP(C941,customers!$A:$A,customers!$C:$C,,0)=0,"",_xlfn.XLOOKUP(C941,customers!$A:$A,customers!$C:$C,,0))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14"/>
        <v>28.53</v>
      </c>
      <c r="N941" t="s">
        <v>6200</v>
      </c>
      <c r="O941" t="str" cm="1">
        <f t="array" ref="O941">_xlfn.IFS(J941="M","Medium", J941="L","Light", J941="D","Dark")</f>
        <v>Light</v>
      </c>
      <c r="P941" t="str">
        <f>_xlfn.XLOOKUP(orders!$C$2:$C$1001,customers!$A$2:$A$1001,customers!$I$2:$I$1001,,0)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IF(_xlfn.XLOOKUP(C942,customers!$A:$A,customers!$C:$C,,0)=0,"",_xlfn.XLOOKUP(C942,customers!$A:$A,customers!$C:$C,,0))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14"/>
        <v>14.339999999999998</v>
      </c>
      <c r="N942" t="s">
        <v>6197</v>
      </c>
      <c r="O942" t="str" cm="1">
        <f t="array" ref="O942">_xlfn.IFS(J942="M","Medium", J942="L","Light", J942="D","Dark")</f>
        <v>Light</v>
      </c>
      <c r="P942" t="str">
        <f>_xlfn.XLOOKUP(orders!$C$2:$C$1001,customers!$A$2:$A$1001,customers!$I$2:$I$1001,,0)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IF(_xlfn.XLOOKUP(C943,customers!$A:$A,customers!$C:$C,,0)=0,"",_xlfn.XLOOKUP(C943,customers!$A:$A,customers!$C:$C,,0))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14"/>
        <v>15.54</v>
      </c>
      <c r="N943" t="s">
        <v>6199</v>
      </c>
      <c r="O943" t="str" cm="1">
        <f t="array" ref="O943">_xlfn.IFS(J943="M","Medium", J943="L","Light", J943="D","Dark")</f>
        <v>Light</v>
      </c>
      <c r="P943" t="str">
        <f>_xlfn.XLOOKUP(orders!$C$2:$C$1001,customers!$A$2:$A$1001,customers!$I$2:$I$1001,,0)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IF(_xlfn.XLOOKUP(C944,customers!$A:$A,customers!$C:$C,,0)=0,"",_xlfn.XLOOKUP(C944,customers!$A:$A,customers!$C:$C,,0))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14"/>
        <v>35.849999999999994</v>
      </c>
      <c r="N944" t="s">
        <v>6197</v>
      </c>
      <c r="O944" t="str" cm="1">
        <f t="array" ref="O944">_xlfn.IFS(J944="M","Medium", J944="L","Light", J944="D","Dark")</f>
        <v>Light</v>
      </c>
      <c r="P944" t="str">
        <f>_xlfn.XLOOKUP(orders!$C$2:$C$1001,customers!$A$2:$A$1001,customers!$I$2:$I$1001,,0)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IF(_xlfn.XLOOKUP(C945,customers!$A:$A,customers!$C:$C,,0)=0,"",_xlfn.XLOOKUP(C945,customers!$A:$A,customers!$C:$C,,0))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14"/>
        <v>46.62</v>
      </c>
      <c r="N945" t="s">
        <v>6199</v>
      </c>
      <c r="O945" t="str" cm="1">
        <f t="array" ref="O945">_xlfn.IFS(J945="M","Medium", J945="L","Light", J945="D","Dark")</f>
        <v>Light</v>
      </c>
      <c r="P945" t="str">
        <f>_xlfn.XLOOKUP(orders!$C$2:$C$1001,customers!$A$2:$A$1001,customers!$I$2:$I$1001,,0)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IF(_xlfn.XLOOKUP(C946,customers!$A:$A,customers!$C:$C,,0)=0,"",_xlfn.XLOOKUP(C946,customers!$A:$A,customers!$C:$C,,0))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14"/>
        <v>35.849999999999994</v>
      </c>
      <c r="N946" t="s">
        <v>6197</v>
      </c>
      <c r="O946" t="str" cm="1">
        <f t="array" ref="O946">_xlfn.IFS(J946="M","Medium", J946="L","Light", J946="D","Dark")</f>
        <v>Light</v>
      </c>
      <c r="P946" t="str">
        <f>_xlfn.XLOOKUP(orders!$C$2:$C$1001,customers!$A$2:$A$1001,customers!$I$2:$I$1001,,0)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IF(_xlfn.XLOOKUP(C947,customers!$A:$A,customers!$C:$C,,0)=0,"",_xlfn.XLOOKUP(C947,customers!$A:$A,customers!$C:$C,,0))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14"/>
        <v>119.13999999999999</v>
      </c>
      <c r="N947" t="s">
        <v>6200</v>
      </c>
      <c r="O947" t="str" cm="1">
        <f t="array" ref="O947">_xlfn.IFS(J947="M","Medium", J947="L","Light", J947="D","Dark")</f>
        <v>Dark</v>
      </c>
      <c r="P947" t="str">
        <f>_xlfn.XLOOKUP(orders!$C$2:$C$1001,customers!$A$2:$A$1001,customers!$I$2:$I$1001,,0)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IF(_xlfn.XLOOKUP(C948,customers!$A:$A,customers!$C:$C,,0)=0,"",_xlfn.XLOOKUP(C948,customers!$A:$A,customers!$C:$C,,0))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14"/>
        <v>23.31</v>
      </c>
      <c r="N948" t="s">
        <v>6200</v>
      </c>
      <c r="O948" t="str" cm="1">
        <f t="array" ref="O948">_xlfn.IFS(J948="M","Medium", J948="L","Light", J948="D","Dark")</f>
        <v>Dark</v>
      </c>
      <c r="P948" t="str">
        <f>_xlfn.XLOOKUP(orders!$C$2:$C$1001,customers!$A$2:$A$1001,customers!$I$2:$I$1001,,0)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IF(_xlfn.XLOOKUP(C949,customers!$A:$A,customers!$C:$C,,0)=0,"",_xlfn.XLOOKUP(C949,customers!$A:$A,customers!$C:$C,,0))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14"/>
        <v>11.25</v>
      </c>
      <c r="N949" t="s">
        <v>6199</v>
      </c>
      <c r="O949" t="str" cm="1">
        <f t="array" ref="O949">_xlfn.IFS(J949="M","Medium", J949="L","Light", J949="D","Dark")</f>
        <v>Medium</v>
      </c>
      <c r="P949" t="str">
        <f>_xlfn.XLOOKUP(orders!$C$2:$C$1001,customers!$A$2:$A$1001,customers!$I$2:$I$1001,,0)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IF(_xlfn.XLOOKUP(C950,customers!$A:$A,customers!$C:$C,,0)=0,"",_xlfn.XLOOKUP(C950,customers!$A:$A,customers!$C:$C,,0))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14"/>
        <v>83.835000000000008</v>
      </c>
      <c r="N950" t="s">
        <v>6198</v>
      </c>
      <c r="O950" t="str" cm="1">
        <f t="array" ref="O950">_xlfn.IFS(J950="M","Medium", J950="L","Light", J950="D","Dark")</f>
        <v>Dark</v>
      </c>
      <c r="P950" t="str">
        <f>_xlfn.XLOOKUP(orders!$C$2:$C$1001,customers!$A$2:$A$1001,customers!$I$2:$I$1001,,0)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IF(_xlfn.XLOOKUP(C951,customers!$A:$A,customers!$C:$C,,0)=0,"",_xlfn.XLOOKUP(C951,customers!$A:$A,customers!$C:$C,,0))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14"/>
        <v>109.93999999999998</v>
      </c>
      <c r="N951" t="s">
        <v>6197</v>
      </c>
      <c r="O951" t="str" cm="1">
        <f t="array" ref="O951">_xlfn.IFS(J951="M","Medium", J951="L","Light", J951="D","Dark")</f>
        <v>Light</v>
      </c>
      <c r="P951" t="str">
        <f>_xlfn.XLOOKUP(orders!$C$2:$C$1001,customers!$A$2:$A$1001,customers!$I$2:$I$1001,,0)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IF(_xlfn.XLOOKUP(C952,customers!$A:$A,customers!$C:$C,,0)=0,"",_xlfn.XLOOKUP(C952,customers!$A:$A,customers!$C:$C,,0))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14"/>
        <v>14.339999999999998</v>
      </c>
      <c r="N952" t="s">
        <v>6197</v>
      </c>
      <c r="O952" t="str" cm="1">
        <f t="array" ref="O952">_xlfn.IFS(J952="M","Medium", J952="L","Light", J952="D","Dark")</f>
        <v>Light</v>
      </c>
      <c r="P952" t="str">
        <f>_xlfn.XLOOKUP(orders!$C$2:$C$1001,customers!$A$2:$A$1001,customers!$I$2:$I$1001,,0)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IF(_xlfn.XLOOKUP(C953,customers!$A:$A,customers!$C:$C,,0)=0,"",_xlfn.XLOOKUP(C953,customers!$A:$A,customers!$C:$C,,0))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14"/>
        <v>21.509999999999998</v>
      </c>
      <c r="N953" t="s">
        <v>6197</v>
      </c>
      <c r="O953" t="str" cm="1">
        <f t="array" ref="O953">_xlfn.IFS(J953="M","Medium", J953="L","Light", J953="D","Dark")</f>
        <v>Light</v>
      </c>
      <c r="P953" t="str">
        <f>_xlfn.XLOOKUP(orders!$C$2:$C$1001,customers!$A$2:$A$1001,customers!$I$2:$I$1001,,0)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IF(_xlfn.XLOOKUP(C954,customers!$A:$A,customers!$C:$C,,0)=0,"",_xlfn.XLOOKUP(C954,customers!$A:$A,customers!$C:$C,,0))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14"/>
        <v>22.5</v>
      </c>
      <c r="N954" t="s">
        <v>6199</v>
      </c>
      <c r="O954" t="str" cm="1">
        <f t="array" ref="O954">_xlfn.IFS(J954="M","Medium", J954="L","Light", J954="D","Dark")</f>
        <v>Medium</v>
      </c>
      <c r="P954" t="str">
        <f>_xlfn.XLOOKUP(orders!$C$2:$C$1001,customers!$A$2:$A$1001,customers!$I$2:$I$1001,,0)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IF(_xlfn.XLOOKUP(C955,customers!$A:$A,customers!$C:$C,,0)=0,"",_xlfn.XLOOKUP(C955,customers!$A:$A,customers!$C:$C,,0))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14"/>
        <v>3.8849999999999998</v>
      </c>
      <c r="N955" t="s">
        <v>6199</v>
      </c>
      <c r="O955" t="str" cm="1">
        <f t="array" ref="O955">_xlfn.IFS(J955="M","Medium", J955="L","Light", J955="D","Dark")</f>
        <v>Light</v>
      </c>
      <c r="P955" t="str">
        <f>_xlfn.XLOOKUP(orders!$C$2:$C$1001,customers!$A$2:$A$1001,customers!$I$2:$I$1001,,0)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IF(_xlfn.XLOOKUP(C956,customers!$A:$A,customers!$C:$C,,0)=0,"",_xlfn.XLOOKUP(C956,customers!$A:$A,customers!$C:$C,,0))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14"/>
        <v>27.945</v>
      </c>
      <c r="N956" t="s">
        <v>6198</v>
      </c>
      <c r="O956" t="str" cm="1">
        <f t="array" ref="O956">_xlfn.IFS(J956="M","Medium", J956="L","Light", J956="D","Dark")</f>
        <v>Dark</v>
      </c>
      <c r="P956" t="str">
        <f>_xlfn.XLOOKUP(orders!$C$2:$C$1001,customers!$A$2:$A$1001,customers!$I$2:$I$1001,,0)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IF(_xlfn.XLOOKUP(C957,customers!$A:$A,customers!$C:$C,,0)=0,"",_xlfn.XLOOKUP(C957,customers!$A:$A,customers!$C:$C,,0))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14"/>
        <v>170.77499999999998</v>
      </c>
      <c r="N957" t="s">
        <v>6198</v>
      </c>
      <c r="O957" t="str" cm="1">
        <f t="array" ref="O957">_xlfn.IFS(J957="M","Medium", J957="L","Light", J957="D","Dark")</f>
        <v>Light</v>
      </c>
      <c r="P957" t="str">
        <f>_xlfn.XLOOKUP(orders!$C$2:$C$1001,customers!$A$2:$A$1001,customers!$I$2:$I$1001,,0)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IF(_xlfn.XLOOKUP(C958,customers!$A:$A,customers!$C:$C,,0)=0,"",_xlfn.XLOOKUP(C958,customers!$A:$A,customers!$C:$C,,0))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14"/>
        <v>54.969999999999992</v>
      </c>
      <c r="N958" t="s">
        <v>6197</v>
      </c>
      <c r="O958" t="str" cm="1">
        <f t="array" ref="O958">_xlfn.IFS(J958="M","Medium", J958="L","Light", J958="D","Dark")</f>
        <v>Light</v>
      </c>
      <c r="P958" t="str">
        <f>_xlfn.XLOOKUP(orders!$C$2:$C$1001,customers!$A$2:$A$1001,customers!$I$2:$I$1001,,0)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IF(_xlfn.XLOOKUP(C959,customers!$A:$A,customers!$C:$C,,0)=0,"",_xlfn.XLOOKUP(C959,customers!$A:$A,customers!$C:$C,,0))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14"/>
        <v>14.85</v>
      </c>
      <c r="N959" t="s">
        <v>6198</v>
      </c>
      <c r="O959" t="str" cm="1">
        <f t="array" ref="O959">_xlfn.IFS(J959="M","Medium", J959="L","Light", J959="D","Dark")</f>
        <v>Light</v>
      </c>
      <c r="P959" t="str">
        <f>_xlfn.XLOOKUP(orders!$C$2:$C$1001,customers!$A$2:$A$1001,customers!$I$2:$I$1001,,0)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IF(_xlfn.XLOOKUP(C960,customers!$A:$A,customers!$C:$C,,0)=0,"",_xlfn.XLOOKUP(C960,customers!$A:$A,customers!$C:$C,,0))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14"/>
        <v>7.77</v>
      </c>
      <c r="N960" t="s">
        <v>6199</v>
      </c>
      <c r="O960" t="str" cm="1">
        <f t="array" ref="O960">_xlfn.IFS(J960="M","Medium", J960="L","Light", J960="D","Dark")</f>
        <v>Light</v>
      </c>
      <c r="P960" t="str">
        <f>_xlfn.XLOOKUP(orders!$C$2:$C$1001,customers!$A$2:$A$1001,customers!$I$2:$I$1001,,0)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IF(_xlfn.XLOOKUP(C961,customers!$A:$A,customers!$C:$C,,0)=0,"",_xlfn.XLOOKUP(C961,customers!$A:$A,customers!$C:$C,,0))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14"/>
        <v>23.774999999999999</v>
      </c>
      <c r="N961" t="s">
        <v>6200</v>
      </c>
      <c r="O961" t="str" cm="1">
        <f t="array" ref="O961">_xlfn.IFS(J961="M","Medium", J961="L","Light", J961="D","Dark")</f>
        <v>Light</v>
      </c>
      <c r="P961" t="str">
        <f>_xlfn.XLOOKUP(orders!$C$2:$C$1001,customers!$A$2:$A$1001,customers!$I$2:$I$1001,,0)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IF(_xlfn.XLOOKUP(C962,customers!$A:$A,customers!$C:$C,,0)=0,"",_xlfn.XLOOKUP(C962,customers!$A:$A,customers!$C:$C,,0))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14"/>
        <v>79.25</v>
      </c>
      <c r="N962" t="s">
        <v>6200</v>
      </c>
      <c r="O962" t="str" cm="1">
        <f t="array" ref="O962">_xlfn.IFS(J962="M","Medium", J962="L","Light", J962="D","Dark")</f>
        <v>Light</v>
      </c>
      <c r="P962" t="str">
        <f>_xlfn.XLOOKUP(orders!$C$2:$C$1001,customers!$A$2:$A$1001,customers!$I$2:$I$1001,,0)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IF(_xlfn.XLOOKUP(C963,customers!$A:$A,customers!$C:$C,,0)=0,"",_xlfn.XLOOKUP(C963,customers!$A:$A,customers!$C:$C,,0))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15">L963*E963</f>
        <v>45.769999999999996</v>
      </c>
      <c r="N963" t="s">
        <v>6199</v>
      </c>
      <c r="O963" t="str" cm="1">
        <f t="array" ref="O963">_xlfn.IFS(J963="M","Medium", J963="L","Light", J963="D","Dark")</f>
        <v>Dark</v>
      </c>
      <c r="P963" t="str">
        <f>_xlfn.XLOOKUP(orders!$C$2:$C$1001,customers!$A$2:$A$1001,customers!$I$2:$I$1001,,0)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IF(_xlfn.XLOOKUP(C964,customers!$A:$A,customers!$C:$C,,0)=0,"",_xlfn.XLOOKUP(C964,customers!$A:$A,customers!$C:$C,,0))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15"/>
        <v>8.9499999999999993</v>
      </c>
      <c r="N964" t="s">
        <v>6197</v>
      </c>
      <c r="O964" t="str" cm="1">
        <f t="array" ref="O964">_xlfn.IFS(J964="M","Medium", J964="L","Light", J964="D","Dark")</f>
        <v>Dark</v>
      </c>
      <c r="P964" t="str">
        <f>_xlfn.XLOOKUP(orders!$C$2:$C$1001,customers!$A$2:$A$1001,customers!$I$2:$I$1001,,0)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IF(_xlfn.XLOOKUP(C965,customers!$A:$A,customers!$C:$C,,0)=0,"",_xlfn.XLOOKUP(C965,customers!$A:$A,customers!$C:$C,,0))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15"/>
        <v>23.88</v>
      </c>
      <c r="N965" t="s">
        <v>6197</v>
      </c>
      <c r="O965" t="str" cm="1">
        <f t="array" ref="O965">_xlfn.IFS(J965="M","Medium", J965="L","Light", J965="D","Dark")</f>
        <v>Medium</v>
      </c>
      <c r="P965" t="str">
        <f>_xlfn.XLOOKUP(orders!$C$2:$C$1001,customers!$A$2:$A$1001,customers!$I$2:$I$1001,,0)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IF(_xlfn.XLOOKUP(C966,customers!$A:$A,customers!$C:$C,,0)=0,"",_xlfn.XLOOKUP(C966,customers!$A:$A,customers!$C:$C,,0))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15"/>
        <v>22.274999999999999</v>
      </c>
      <c r="N966" t="s">
        <v>6198</v>
      </c>
      <c r="O966" t="str" cm="1">
        <f t="array" ref="O966">_xlfn.IFS(J966="M","Medium", J966="L","Light", J966="D","Dark")</f>
        <v>Light</v>
      </c>
      <c r="P966" t="str">
        <f>_xlfn.XLOOKUP(orders!$C$2:$C$1001,customers!$A$2:$A$1001,customers!$I$2:$I$1001,,0)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IF(_xlfn.XLOOKUP(C967,customers!$A:$A,customers!$C:$C,,0)=0,"",_xlfn.XLOOKUP(C967,customers!$A:$A,customers!$C:$C,,0))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15"/>
        <v>29.849999999999998</v>
      </c>
      <c r="N967" t="s">
        <v>6197</v>
      </c>
      <c r="O967" t="str" cm="1">
        <f t="array" ref="O967">_xlfn.IFS(J967="M","Medium", J967="L","Light", J967="D","Dark")</f>
        <v>Medium</v>
      </c>
      <c r="P967" t="str">
        <f>_xlfn.XLOOKUP(orders!$C$2:$C$1001,customers!$A$2:$A$1001,customers!$I$2:$I$1001,,0)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IF(_xlfn.XLOOKUP(C968,customers!$A:$A,customers!$C:$C,,0)=0,"",_xlfn.XLOOKUP(C968,customers!$A:$A,customers!$C:$C,,0))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15"/>
        <v>53.46</v>
      </c>
      <c r="N968" t="s">
        <v>6198</v>
      </c>
      <c r="O968" t="str" cm="1">
        <f t="array" ref="O968">_xlfn.IFS(J968="M","Medium", J968="L","Light", J968="D","Dark")</f>
        <v>Light</v>
      </c>
      <c r="P968" t="str">
        <f>_xlfn.XLOOKUP(orders!$C$2:$C$1001,customers!$A$2:$A$1001,customers!$I$2:$I$1001,,0)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IF(_xlfn.XLOOKUP(C969,customers!$A:$A,customers!$C:$C,,0)=0,"",_xlfn.XLOOKUP(C969,customers!$A:$A,customers!$C:$C,,0))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15"/>
        <v>2.6849999999999996</v>
      </c>
      <c r="N969" t="s">
        <v>6197</v>
      </c>
      <c r="O969" t="str" cm="1">
        <f t="array" ref="O969">_xlfn.IFS(J969="M","Medium", J969="L","Light", J969="D","Dark")</f>
        <v>Dark</v>
      </c>
      <c r="P969" t="str">
        <f>_xlfn.XLOOKUP(orders!$C$2:$C$1001,customers!$A$2:$A$1001,customers!$I$2:$I$1001,,0)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IF(_xlfn.XLOOKUP(C970,customers!$A:$A,customers!$C:$C,,0)=0,"",_xlfn.XLOOKUP(C970,customers!$A:$A,customers!$C:$C,,0))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15"/>
        <v>5.97</v>
      </c>
      <c r="N970" t="s">
        <v>6197</v>
      </c>
      <c r="O970" t="str" cm="1">
        <f t="array" ref="O970">_xlfn.IFS(J970="M","Medium", J970="L","Light", J970="D","Dark")</f>
        <v>Medium</v>
      </c>
      <c r="P970" t="str">
        <f>_xlfn.XLOOKUP(orders!$C$2:$C$1001,customers!$A$2:$A$1001,customers!$I$2:$I$1001,,0)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IF(_xlfn.XLOOKUP(C971,customers!$A:$A,customers!$C:$C,,0)=0,"",_xlfn.XLOOKUP(C971,customers!$A:$A,customers!$C:$C,,0))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15"/>
        <v>12.95</v>
      </c>
      <c r="N971" t="s">
        <v>6200</v>
      </c>
      <c r="O971" t="str" cm="1">
        <f t="array" ref="O971">_xlfn.IFS(J971="M","Medium", J971="L","Light", J971="D","Dark")</f>
        <v>Dark</v>
      </c>
      <c r="P971" t="str">
        <f>_xlfn.XLOOKUP(orders!$C$2:$C$1001,customers!$A$2:$A$1001,customers!$I$2:$I$1001,,0)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IF(_xlfn.XLOOKUP(C972,customers!$A:$A,customers!$C:$C,,0)=0,"",_xlfn.XLOOKUP(C972,customers!$A:$A,customers!$C:$C,,0))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15"/>
        <v>8.25</v>
      </c>
      <c r="N972" t="s">
        <v>6198</v>
      </c>
      <c r="O972" t="str" cm="1">
        <f t="array" ref="O972">_xlfn.IFS(J972="M","Medium", J972="L","Light", J972="D","Dark")</f>
        <v>Medium</v>
      </c>
      <c r="P972" t="str">
        <f>_xlfn.XLOOKUP(orders!$C$2:$C$1001,customers!$A$2:$A$1001,customers!$I$2:$I$1001,,0)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IF(_xlfn.XLOOKUP(C973,customers!$A:$A,customers!$C:$C,,0)=0,"",_xlfn.XLOOKUP(C973,customers!$A:$A,customers!$C:$C,,0))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15"/>
        <v>148.92499999999998</v>
      </c>
      <c r="N973" t="s">
        <v>6199</v>
      </c>
      <c r="O973" t="str" cm="1">
        <f t="array" ref="O973">_xlfn.IFS(J973="M","Medium", J973="L","Light", J973="D","Dark")</f>
        <v>Light</v>
      </c>
      <c r="P973" t="str">
        <f>_xlfn.XLOOKUP(orders!$C$2:$C$1001,customers!$A$2:$A$1001,customers!$I$2:$I$1001,,0)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IF(_xlfn.XLOOKUP(C974,customers!$A:$A,customers!$C:$C,,0)=0,"",_xlfn.XLOOKUP(C974,customers!$A:$A,customers!$C:$C,,0))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15"/>
        <v>89.35499999999999</v>
      </c>
      <c r="N974" t="s">
        <v>6199</v>
      </c>
      <c r="O974" t="str" cm="1">
        <f t="array" ref="O974">_xlfn.IFS(J974="M","Medium", J974="L","Light", J974="D","Dark")</f>
        <v>Light</v>
      </c>
      <c r="P974" t="str">
        <f>_xlfn.XLOOKUP(orders!$C$2:$C$1001,customers!$A$2:$A$1001,customers!$I$2:$I$1001,,0)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IF(_xlfn.XLOOKUP(C975,customers!$A:$A,customers!$C:$C,,0)=0,"",_xlfn.XLOOKUP(C975,customers!$A:$A,customers!$C:$C,,0))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15"/>
        <v>87.300000000000011</v>
      </c>
      <c r="N975" t="s">
        <v>6200</v>
      </c>
      <c r="O975" t="str" cm="1">
        <f t="array" ref="O975">_xlfn.IFS(J975="M","Medium", J975="L","Light", J975="D","Dark")</f>
        <v>Medium</v>
      </c>
      <c r="P975" t="str">
        <f>_xlfn.XLOOKUP(orders!$C$2:$C$1001,customers!$A$2:$A$1001,customers!$I$2:$I$1001,,0)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IF(_xlfn.XLOOKUP(C976,customers!$A:$A,customers!$C:$C,,0)=0,"",_xlfn.XLOOKUP(C976,customers!$A:$A,customers!$C:$C,,0))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15"/>
        <v>5.3699999999999992</v>
      </c>
      <c r="N976" t="s">
        <v>6197</v>
      </c>
      <c r="O976" t="str" cm="1">
        <f t="array" ref="O976">_xlfn.IFS(J976="M","Medium", J976="L","Light", J976="D","Dark")</f>
        <v>Dark</v>
      </c>
      <c r="P976" t="str">
        <f>_xlfn.XLOOKUP(orders!$C$2:$C$1001,customers!$A$2:$A$1001,customers!$I$2:$I$1001,,0)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IF(_xlfn.XLOOKUP(C977,customers!$A:$A,customers!$C:$C,,0)=0,"",_xlfn.XLOOKUP(C977,customers!$A:$A,customers!$C:$C,,0))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15"/>
        <v>8.9550000000000001</v>
      </c>
      <c r="N977" t="s">
        <v>6199</v>
      </c>
      <c r="O977" t="str" cm="1">
        <f t="array" ref="O977">_xlfn.IFS(J977="M","Medium", J977="L","Light", J977="D","Dark")</f>
        <v>Dark</v>
      </c>
      <c r="P977" t="str">
        <f>_xlfn.XLOOKUP(orders!$C$2:$C$1001,customers!$A$2:$A$1001,customers!$I$2:$I$1001,,0)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IF(_xlfn.XLOOKUP(C978,customers!$A:$A,customers!$C:$C,,0)=0,"",_xlfn.XLOOKUP(C978,customers!$A:$A,customers!$C:$C,,0))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15"/>
        <v>137.42499999999998</v>
      </c>
      <c r="N978" t="s">
        <v>6197</v>
      </c>
      <c r="O978" t="str" cm="1">
        <f t="array" ref="O978">_xlfn.IFS(J978="M","Medium", J978="L","Light", J978="D","Dark")</f>
        <v>Light</v>
      </c>
      <c r="P978" t="str">
        <f>_xlfn.XLOOKUP(orders!$C$2:$C$1001,customers!$A$2:$A$1001,customers!$I$2:$I$1001,,0)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IF(_xlfn.XLOOKUP(C979,customers!$A:$A,customers!$C:$C,,0)=0,"",_xlfn.XLOOKUP(C979,customers!$A:$A,customers!$C:$C,,0))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15"/>
        <v>59.75</v>
      </c>
      <c r="N979" t="s">
        <v>6197</v>
      </c>
      <c r="O979" t="str" cm="1">
        <f t="array" ref="O979">_xlfn.IFS(J979="M","Medium", J979="L","Light", J979="D","Dark")</f>
        <v>Light</v>
      </c>
      <c r="P979" t="str">
        <f>_xlfn.XLOOKUP(orders!$C$2:$C$1001,customers!$A$2:$A$1001,customers!$I$2:$I$1001,,0)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IF(_xlfn.XLOOKUP(C980,customers!$A:$A,customers!$C:$C,,0)=0,"",_xlfn.XLOOKUP(C980,customers!$A:$A,customers!$C:$C,,0))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15"/>
        <v>23.31</v>
      </c>
      <c r="N980" t="s">
        <v>6199</v>
      </c>
      <c r="O980" t="str" cm="1">
        <f t="array" ref="O980">_xlfn.IFS(J980="M","Medium", J980="L","Light", J980="D","Dark")</f>
        <v>Light</v>
      </c>
      <c r="P980" t="str">
        <f>_xlfn.XLOOKUP(orders!$C$2:$C$1001,customers!$A$2:$A$1001,customers!$I$2:$I$1001,,0)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IF(_xlfn.XLOOKUP(C981,customers!$A:$A,customers!$C:$C,,0)=0,"",_xlfn.XLOOKUP(C981,customers!$A:$A,customers!$C:$C,,0))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15"/>
        <v>10.739999999999998</v>
      </c>
      <c r="N981" t="s">
        <v>6197</v>
      </c>
      <c r="O981" t="str" cm="1">
        <f t="array" ref="O981">_xlfn.IFS(J981="M","Medium", J981="L","Light", J981="D","Dark")</f>
        <v>Dark</v>
      </c>
      <c r="P981" t="str">
        <f>_xlfn.XLOOKUP(orders!$C$2:$C$1001,customers!$A$2:$A$1001,customers!$I$2:$I$1001,,0)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IF(_xlfn.XLOOKUP(C982,customers!$A:$A,customers!$C:$C,,0)=0,"",_xlfn.XLOOKUP(C982,customers!$A:$A,customers!$C:$C,,0))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15"/>
        <v>167.67000000000002</v>
      </c>
      <c r="N982" t="s">
        <v>6198</v>
      </c>
      <c r="O982" t="str" cm="1">
        <f t="array" ref="O982">_xlfn.IFS(J982="M","Medium", J982="L","Light", J982="D","Dark")</f>
        <v>Dark</v>
      </c>
      <c r="P982" t="str">
        <f>_xlfn.XLOOKUP(orders!$C$2:$C$1001,customers!$A$2:$A$1001,customers!$I$2:$I$1001,,0)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IF(_xlfn.XLOOKUP(C983,customers!$A:$A,customers!$C:$C,,0)=0,"",_xlfn.XLOOKUP(C983,customers!$A:$A,customers!$C:$C,,0))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15"/>
        <v>21.87</v>
      </c>
      <c r="N983" t="s">
        <v>6198</v>
      </c>
      <c r="O983" t="str" cm="1">
        <f t="array" ref="O983">_xlfn.IFS(J983="M","Medium", J983="L","Light", J983="D","Dark")</f>
        <v>Dark</v>
      </c>
      <c r="P983" t="str">
        <f>_xlfn.XLOOKUP(orders!$C$2:$C$1001,customers!$A$2:$A$1001,customers!$I$2:$I$1001,,0)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IF(_xlfn.XLOOKUP(C984,customers!$A:$A,customers!$C:$C,,0)=0,"",_xlfn.XLOOKUP(C984,customers!$A:$A,customers!$C:$C,,0))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15"/>
        <v>23.9</v>
      </c>
      <c r="N984" t="s">
        <v>6197</v>
      </c>
      <c r="O984" t="str" cm="1">
        <f t="array" ref="O984">_xlfn.IFS(J984="M","Medium", J984="L","Light", J984="D","Dark")</f>
        <v>Light</v>
      </c>
      <c r="P984" t="str">
        <f>_xlfn.XLOOKUP(orders!$C$2:$C$1001,customers!$A$2:$A$1001,customers!$I$2:$I$1001,,0)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IF(_xlfn.XLOOKUP(C985,customers!$A:$A,customers!$C:$C,,0)=0,"",_xlfn.XLOOKUP(C985,customers!$A:$A,customers!$C:$C,,0))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15"/>
        <v>6.75</v>
      </c>
      <c r="N985" t="s">
        <v>6199</v>
      </c>
      <c r="O985" t="str" cm="1">
        <f t="array" ref="O985">_xlfn.IFS(J985="M","Medium", J985="L","Light", J985="D","Dark")</f>
        <v>Medium</v>
      </c>
      <c r="P985" t="str">
        <f>_xlfn.XLOOKUP(orders!$C$2:$C$1001,customers!$A$2:$A$1001,customers!$I$2:$I$1001,,0)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IF(_xlfn.XLOOKUP(C986,customers!$A:$A,customers!$C:$C,,0)=0,"",_xlfn.XLOOKUP(C986,customers!$A:$A,customers!$C:$C,,0))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15"/>
        <v>31.624999999999996</v>
      </c>
      <c r="N986" t="s">
        <v>6198</v>
      </c>
      <c r="O986" t="str" cm="1">
        <f t="array" ref="O986">_xlfn.IFS(J986="M","Medium", J986="L","Light", J986="D","Dark")</f>
        <v>Medium</v>
      </c>
      <c r="P986" t="str">
        <f>_xlfn.XLOOKUP(orders!$C$2:$C$1001,customers!$A$2:$A$1001,customers!$I$2:$I$1001,,0)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IF(_xlfn.XLOOKUP(C987,customers!$A:$A,customers!$C:$C,,0)=0,"",_xlfn.XLOOKUP(C987,customers!$A:$A,customers!$C:$C,,0))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15"/>
        <v>47.8</v>
      </c>
      <c r="N987" t="s">
        <v>6197</v>
      </c>
      <c r="O987" t="str" cm="1">
        <f t="array" ref="O987">_xlfn.IFS(J987="M","Medium", J987="L","Light", J987="D","Dark")</f>
        <v>Light</v>
      </c>
      <c r="P987" t="str">
        <f>_xlfn.XLOOKUP(orders!$C$2:$C$1001,customers!$A$2:$A$1001,customers!$I$2:$I$1001,,0)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IF(_xlfn.XLOOKUP(C988,customers!$A:$A,customers!$C:$C,,0)=0,"",_xlfn.XLOOKUP(C988,customers!$A:$A,customers!$C:$C,,0))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15"/>
        <v>33.464999999999996</v>
      </c>
      <c r="N988" t="s">
        <v>6200</v>
      </c>
      <c r="O988" t="str" cm="1">
        <f t="array" ref="O988">_xlfn.IFS(J988="M","Medium", J988="L","Light", J988="D","Dark")</f>
        <v>Medium</v>
      </c>
      <c r="P988" t="str">
        <f>_xlfn.XLOOKUP(orders!$C$2:$C$1001,customers!$A$2:$A$1001,customers!$I$2:$I$1001,,0)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IF(_xlfn.XLOOKUP(C989,customers!$A:$A,customers!$C:$C,,0)=0,"",_xlfn.XLOOKUP(C989,customers!$A:$A,customers!$C:$C,,0))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15"/>
        <v>29.849999999999998</v>
      </c>
      <c r="N989" t="s">
        <v>6199</v>
      </c>
      <c r="O989" t="str" cm="1">
        <f t="array" ref="O989">_xlfn.IFS(J989="M","Medium", J989="L","Light", J989="D","Dark")</f>
        <v>Dark</v>
      </c>
      <c r="P989" t="str">
        <f>_xlfn.XLOOKUP(orders!$C$2:$C$1001,customers!$A$2:$A$1001,customers!$I$2:$I$1001,,0)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IF(_xlfn.XLOOKUP(C990,customers!$A:$A,customers!$C:$C,,0)=0,"",_xlfn.XLOOKUP(C990,customers!$A:$A,customers!$C:$C,,0))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15"/>
        <v>29.849999999999998</v>
      </c>
      <c r="N990" t="s">
        <v>6197</v>
      </c>
      <c r="O990" t="str" cm="1">
        <f t="array" ref="O990">_xlfn.IFS(J990="M","Medium", J990="L","Light", J990="D","Dark")</f>
        <v>Medium</v>
      </c>
      <c r="P990" t="str">
        <f>_xlfn.XLOOKUP(orders!$C$2:$C$1001,customers!$A$2:$A$1001,customers!$I$2:$I$1001,,0)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IF(_xlfn.XLOOKUP(C991,customers!$A:$A,customers!$C:$C,,0)=0,"",_xlfn.XLOOKUP(C991,customers!$A:$A,customers!$C:$C,,0))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15"/>
        <v>155.24999999999997</v>
      </c>
      <c r="N991" t="s">
        <v>6199</v>
      </c>
      <c r="O991" t="str" cm="1">
        <f t="array" ref="O991">_xlfn.IFS(J991="M","Medium", J991="L","Light", J991="D","Dark")</f>
        <v>Medium</v>
      </c>
      <c r="P991" t="str">
        <f>_xlfn.XLOOKUP(orders!$C$2:$C$1001,customers!$A$2:$A$1001,customers!$I$2:$I$1001,,0)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IF(_xlfn.XLOOKUP(C992,customers!$A:$A,customers!$C:$C,,0)=0,"",_xlfn.XLOOKUP(C992,customers!$A:$A,customers!$C:$C,,0))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15"/>
        <v>18.225000000000001</v>
      </c>
      <c r="N992" t="s">
        <v>6198</v>
      </c>
      <c r="O992" t="str" cm="1">
        <f t="array" ref="O992">_xlfn.IFS(J992="M","Medium", J992="L","Light", J992="D","Dark")</f>
        <v>Dark</v>
      </c>
      <c r="P992" t="str">
        <f>_xlfn.XLOOKUP(orders!$C$2:$C$1001,customers!$A$2:$A$1001,customers!$I$2:$I$1001,,0)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IF(_xlfn.XLOOKUP(C993,customers!$A:$A,customers!$C:$C,,0)=0,"",_xlfn.XLOOKUP(C993,customers!$A:$A,customers!$C:$C,,0))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15"/>
        <v>15.54</v>
      </c>
      <c r="N993" t="s">
        <v>6200</v>
      </c>
      <c r="O993" t="str" cm="1">
        <f t="array" ref="O993">_xlfn.IFS(J993="M","Medium", J993="L","Light", J993="D","Dark")</f>
        <v>Dark</v>
      </c>
      <c r="P993" t="str">
        <f>_xlfn.XLOOKUP(orders!$C$2:$C$1001,customers!$A$2:$A$1001,customers!$I$2:$I$1001,,0)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IF(_xlfn.XLOOKUP(C994,customers!$A:$A,customers!$C:$C,,0)=0,"",_xlfn.XLOOKUP(C994,customers!$A:$A,customers!$C:$C,,0))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15"/>
        <v>109.36499999999999</v>
      </c>
      <c r="N994" t="s">
        <v>6200</v>
      </c>
      <c r="O994" t="str" cm="1">
        <f t="array" ref="O994">_xlfn.IFS(J994="M","Medium", J994="L","Light", J994="D","Dark")</f>
        <v>Light</v>
      </c>
      <c r="P994" t="str">
        <f>_xlfn.XLOOKUP(orders!$C$2:$C$1001,customers!$A$2:$A$1001,customers!$I$2:$I$1001,,0)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IF(_xlfn.XLOOKUP(C995,customers!$A:$A,customers!$C:$C,,0)=0,"",_xlfn.XLOOKUP(C995,customers!$A:$A,customers!$C:$C,,0))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15"/>
        <v>77.699999999999989</v>
      </c>
      <c r="N995" t="s">
        <v>6199</v>
      </c>
      <c r="O995" t="str" cm="1">
        <f t="array" ref="O995">_xlfn.IFS(J995="M","Medium", J995="L","Light", J995="D","Dark")</f>
        <v>Light</v>
      </c>
      <c r="P995" t="str">
        <f>_xlfn.XLOOKUP(orders!$C$2:$C$1001,customers!$A$2:$A$1001,customers!$I$2:$I$1001,,0)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IF(_xlfn.XLOOKUP(C996,customers!$A:$A,customers!$C:$C,,0)=0,"",_xlfn.XLOOKUP(C996,customers!$A:$A,customers!$C:$C,,0))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15"/>
        <v>8.9550000000000001</v>
      </c>
      <c r="N996" t="s">
        <v>6199</v>
      </c>
      <c r="O996" t="str" cm="1">
        <f t="array" ref="O996">_xlfn.IFS(J996="M","Medium", J996="L","Light", J996="D","Dark")</f>
        <v>Dark</v>
      </c>
      <c r="P996" t="str">
        <f>_xlfn.XLOOKUP(orders!$C$2:$C$1001,customers!$A$2:$A$1001,customers!$I$2:$I$1001,,0)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IF(_xlfn.XLOOKUP(C997,customers!$A:$A,customers!$C:$C,,0)=0,"",_xlfn.XLOOKUP(C997,customers!$A:$A,customers!$C:$C,,0))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15"/>
        <v>27.484999999999996</v>
      </c>
      <c r="N997" t="s">
        <v>6197</v>
      </c>
      <c r="O997" t="str" cm="1">
        <f t="array" ref="O997">_xlfn.IFS(J997="M","Medium", J997="L","Light", J997="D","Dark")</f>
        <v>Light</v>
      </c>
      <c r="P997" t="str">
        <f>_xlfn.XLOOKUP(orders!$C$2:$C$1001,customers!$A$2:$A$1001,customers!$I$2:$I$1001,,0)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IF(_xlfn.XLOOKUP(C998,customers!$A:$A,customers!$C:$C,,0)=0,"",_xlfn.XLOOKUP(C998,customers!$A:$A,customers!$C:$C,,0))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15"/>
        <v>29.849999999999998</v>
      </c>
      <c r="N998" t="s">
        <v>6197</v>
      </c>
      <c r="O998" t="str" cm="1">
        <f t="array" ref="O998">_xlfn.IFS(J998="M","Medium", J998="L","Light", J998="D","Dark")</f>
        <v>Medium</v>
      </c>
      <c r="P998" t="str">
        <f>_xlfn.XLOOKUP(orders!$C$2:$C$1001,customers!$A$2:$A$1001,customers!$I$2:$I$1001,,0)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IF(_xlfn.XLOOKUP(C999,customers!$A:$A,customers!$C:$C,,0)=0,"",_xlfn.XLOOKUP(C999,customers!$A:$A,customers!$C:$C,,0))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15"/>
        <v>27</v>
      </c>
      <c r="N999" t="s">
        <v>6199</v>
      </c>
      <c r="O999" t="str" cm="1">
        <f t="array" ref="O999">_xlfn.IFS(J999="M","Medium", J999="L","Light", J999="D","Dark")</f>
        <v>Medium</v>
      </c>
      <c r="P999" t="str">
        <f>_xlfn.XLOOKUP(orders!$C$2:$C$1001,customers!$A$2:$A$1001,customers!$I$2:$I$1001,,0)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IF(_xlfn.XLOOKUP(C1000,customers!$A:$A,customers!$C:$C,,0)=0,"",_xlfn.XLOOKUP(C1000,customers!$A:$A,customers!$C:$C,,0))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15"/>
        <v>9.9499999999999993</v>
      </c>
      <c r="N1000" t="s">
        <v>6199</v>
      </c>
      <c r="O1000" t="str" cm="1">
        <f t="array" ref="O1000">_xlfn.IFS(J1000="M","Medium", J1000="L","Light", J1000="D","Dark")</f>
        <v>Dark</v>
      </c>
      <c r="P1000" t="str">
        <f>_xlfn.XLOOKUP(orders!$C$2:$C$1001,customers!$A$2:$A$1001,customers!$I$2:$I$1001,,0)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IF(_xlfn.XLOOKUP(C1001,customers!$A:$A,customers!$C:$C,,0)=0,"",_xlfn.XLOOKUP(C1001,customers!$A:$A,customers!$C:$C,,0))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15"/>
        <v>12.375</v>
      </c>
      <c r="N1001" t="s">
        <v>6198</v>
      </c>
      <c r="O1001" t="str" cm="1">
        <f t="array" ref="O1001">_xlfn.IFS(J1001="M","Medium", J1001="L","Light", J1001="D","Dark")</f>
        <v>Medium</v>
      </c>
      <c r="P1001" t="str">
        <f>_xlfn.XLOOKUP(orders!$C$2:$C$1001,customers!$A$2:$A$1001,customers!$I$2:$I$1001,,0)</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33" sqref="A32:A3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1D58-A80E-4B17-89D0-34B5D2751745}">
  <dimension ref="A3:F48"/>
  <sheetViews>
    <sheetView workbookViewId="0">
      <selection activeCell="B55" sqref="B55"/>
    </sheetView>
  </sheetViews>
  <sheetFormatPr defaultRowHeight="14.4" x14ac:dyDescent="0.3"/>
  <cols>
    <col min="1" max="1" width="12.3320312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10" t="s">
        <v>6202</v>
      </c>
      <c r="C3" s="10" t="s">
        <v>6196</v>
      </c>
    </row>
    <row r="4" spans="1:6" x14ac:dyDescent="0.3">
      <c r="A4" s="10" t="s">
        <v>6221</v>
      </c>
      <c r="B4" s="10" t="s">
        <v>6222</v>
      </c>
      <c r="C4" t="s">
        <v>6199</v>
      </c>
      <c r="D4" t="s">
        <v>6198</v>
      </c>
      <c r="E4" t="s">
        <v>6200</v>
      </c>
      <c r="F4" t="s">
        <v>6197</v>
      </c>
    </row>
    <row r="5" spans="1:6" x14ac:dyDescent="0.3">
      <c r="A5" t="s">
        <v>6205</v>
      </c>
      <c r="B5" t="s">
        <v>6209</v>
      </c>
      <c r="C5" s="12">
        <v>186.85499999999999</v>
      </c>
      <c r="D5" s="12">
        <v>305.97000000000003</v>
      </c>
      <c r="E5" s="12">
        <v>213.15999999999997</v>
      </c>
      <c r="F5" s="12">
        <v>123</v>
      </c>
    </row>
    <row r="6" spans="1:6" x14ac:dyDescent="0.3">
      <c r="B6" t="s">
        <v>6210</v>
      </c>
      <c r="C6" s="12">
        <v>251.96499999999997</v>
      </c>
      <c r="D6" s="12">
        <v>129.46</v>
      </c>
      <c r="E6" s="12">
        <v>434.03999999999996</v>
      </c>
      <c r="F6" s="12">
        <v>171.93999999999997</v>
      </c>
    </row>
    <row r="7" spans="1:6" x14ac:dyDescent="0.3">
      <c r="B7" t="s">
        <v>6211</v>
      </c>
      <c r="C7" s="12">
        <v>224.94499999999999</v>
      </c>
      <c r="D7" s="12">
        <v>349.12</v>
      </c>
      <c r="E7" s="12">
        <v>321.04000000000002</v>
      </c>
      <c r="F7" s="12">
        <v>126.035</v>
      </c>
    </row>
    <row r="8" spans="1:6" x14ac:dyDescent="0.3">
      <c r="B8" t="s">
        <v>6212</v>
      </c>
      <c r="C8" s="12">
        <v>307.12</v>
      </c>
      <c r="D8" s="12">
        <v>681.07499999999993</v>
      </c>
      <c r="E8" s="12">
        <v>533.70499999999993</v>
      </c>
      <c r="F8" s="12">
        <v>158.85</v>
      </c>
    </row>
    <row r="9" spans="1:6" x14ac:dyDescent="0.3">
      <c r="B9" t="s">
        <v>6213</v>
      </c>
      <c r="C9" s="12">
        <v>53.664999999999992</v>
      </c>
      <c r="D9" s="12">
        <v>83.025000000000006</v>
      </c>
      <c r="E9" s="12">
        <v>193.83499999999998</v>
      </c>
      <c r="F9" s="12">
        <v>68.039999999999992</v>
      </c>
    </row>
    <row r="10" spans="1:6" x14ac:dyDescent="0.3">
      <c r="B10" t="s">
        <v>6214</v>
      </c>
      <c r="C10" s="12">
        <v>163.01999999999998</v>
      </c>
      <c r="D10" s="12">
        <v>678.3599999999999</v>
      </c>
      <c r="E10" s="12">
        <v>171.04500000000002</v>
      </c>
      <c r="F10" s="12">
        <v>372.255</v>
      </c>
    </row>
    <row r="11" spans="1:6" x14ac:dyDescent="0.3">
      <c r="B11" t="s">
        <v>6215</v>
      </c>
      <c r="C11" s="12">
        <v>345.02</v>
      </c>
      <c r="D11" s="12">
        <v>273.86999999999995</v>
      </c>
      <c r="E11" s="12">
        <v>184.12999999999997</v>
      </c>
      <c r="F11" s="12">
        <v>201.11499999999998</v>
      </c>
    </row>
    <row r="12" spans="1:6" x14ac:dyDescent="0.3">
      <c r="B12" t="s">
        <v>6216</v>
      </c>
      <c r="C12" s="12">
        <v>334.89</v>
      </c>
      <c r="D12" s="12">
        <v>70.95</v>
      </c>
      <c r="E12" s="12">
        <v>134.23000000000002</v>
      </c>
      <c r="F12" s="12">
        <v>166.27499999999998</v>
      </c>
    </row>
    <row r="13" spans="1:6" x14ac:dyDescent="0.3">
      <c r="B13" t="s">
        <v>6217</v>
      </c>
      <c r="C13" s="12">
        <v>178.70999999999998</v>
      </c>
      <c r="D13" s="12">
        <v>166.1</v>
      </c>
      <c r="E13" s="12">
        <v>439.30999999999995</v>
      </c>
      <c r="F13" s="12">
        <v>492.9</v>
      </c>
    </row>
    <row r="14" spans="1:6" x14ac:dyDescent="0.3">
      <c r="B14" t="s">
        <v>6218</v>
      </c>
      <c r="C14" s="12">
        <v>301.98500000000001</v>
      </c>
      <c r="D14" s="12">
        <v>153.76499999999999</v>
      </c>
      <c r="E14" s="12">
        <v>215.55499999999998</v>
      </c>
      <c r="F14" s="12">
        <v>213.66499999999999</v>
      </c>
    </row>
    <row r="15" spans="1:6" x14ac:dyDescent="0.3">
      <c r="B15" t="s">
        <v>6219</v>
      </c>
      <c r="C15" s="12">
        <v>312.83499999999998</v>
      </c>
      <c r="D15" s="12">
        <v>63.249999999999993</v>
      </c>
      <c r="E15" s="12">
        <v>350.89500000000004</v>
      </c>
      <c r="F15" s="12">
        <v>96.405000000000001</v>
      </c>
    </row>
    <row r="16" spans="1:6" x14ac:dyDescent="0.3">
      <c r="B16" t="s">
        <v>6220</v>
      </c>
      <c r="C16" s="12">
        <v>265.62</v>
      </c>
      <c r="D16" s="12">
        <v>526.51499999999987</v>
      </c>
      <c r="E16" s="12">
        <v>187.06</v>
      </c>
      <c r="F16" s="12">
        <v>210.58999999999997</v>
      </c>
    </row>
    <row r="17" spans="1:6" x14ac:dyDescent="0.3">
      <c r="A17" t="s">
        <v>6206</v>
      </c>
      <c r="B17" t="s">
        <v>6209</v>
      </c>
      <c r="C17" s="12">
        <v>47.25</v>
      </c>
      <c r="D17" s="12">
        <v>65.805000000000007</v>
      </c>
      <c r="E17" s="12">
        <v>274.67500000000001</v>
      </c>
      <c r="F17" s="12">
        <v>179.22</v>
      </c>
    </row>
    <row r="18" spans="1:6" x14ac:dyDescent="0.3">
      <c r="B18" t="s">
        <v>6210</v>
      </c>
      <c r="C18" s="12">
        <v>745.44999999999993</v>
      </c>
      <c r="D18" s="12">
        <v>428.88499999999999</v>
      </c>
      <c r="E18" s="12">
        <v>194.17499999999998</v>
      </c>
      <c r="F18" s="12">
        <v>429.82999999999993</v>
      </c>
    </row>
    <row r="19" spans="1:6" x14ac:dyDescent="0.3">
      <c r="B19" t="s">
        <v>6211</v>
      </c>
      <c r="C19" s="12">
        <v>130.47</v>
      </c>
      <c r="D19" s="12">
        <v>271.48500000000001</v>
      </c>
      <c r="E19" s="12">
        <v>281.20499999999998</v>
      </c>
      <c r="F19" s="12">
        <v>231.63000000000002</v>
      </c>
    </row>
    <row r="20" spans="1:6" x14ac:dyDescent="0.3">
      <c r="B20" t="s">
        <v>6212</v>
      </c>
      <c r="C20" s="12">
        <v>27</v>
      </c>
      <c r="D20" s="12">
        <v>347.26</v>
      </c>
      <c r="E20" s="12">
        <v>147.51</v>
      </c>
      <c r="F20" s="12">
        <v>240.04</v>
      </c>
    </row>
    <row r="21" spans="1:6" x14ac:dyDescent="0.3">
      <c r="B21" t="s">
        <v>6213</v>
      </c>
      <c r="C21" s="12">
        <v>255.11499999999995</v>
      </c>
      <c r="D21" s="12">
        <v>541.73</v>
      </c>
      <c r="E21" s="12">
        <v>83.43</v>
      </c>
      <c r="F21" s="12">
        <v>59.079999999999991</v>
      </c>
    </row>
    <row r="22" spans="1:6" x14ac:dyDescent="0.3">
      <c r="B22" t="s">
        <v>6214</v>
      </c>
      <c r="C22" s="12">
        <v>584.78999999999985</v>
      </c>
      <c r="D22" s="12">
        <v>357.42999999999995</v>
      </c>
      <c r="E22" s="12">
        <v>355.34</v>
      </c>
      <c r="F22" s="12">
        <v>140.88</v>
      </c>
    </row>
    <row r="23" spans="1:6" x14ac:dyDescent="0.3">
      <c r="B23" t="s">
        <v>6215</v>
      </c>
      <c r="C23" s="12">
        <v>430.62</v>
      </c>
      <c r="D23" s="12">
        <v>227.42500000000001</v>
      </c>
      <c r="E23" s="12">
        <v>236.315</v>
      </c>
      <c r="F23" s="12">
        <v>414.58499999999992</v>
      </c>
    </row>
    <row r="24" spans="1:6" x14ac:dyDescent="0.3">
      <c r="B24" t="s">
        <v>6216</v>
      </c>
      <c r="C24" s="12">
        <v>22.5</v>
      </c>
      <c r="D24" s="12">
        <v>77.72</v>
      </c>
      <c r="E24" s="12">
        <v>60.5</v>
      </c>
      <c r="F24" s="12">
        <v>139.67999999999998</v>
      </c>
    </row>
    <row r="25" spans="1:6" x14ac:dyDescent="0.3">
      <c r="B25" t="s">
        <v>6217</v>
      </c>
      <c r="C25" s="12">
        <v>126.14999999999999</v>
      </c>
      <c r="D25" s="12">
        <v>195.11</v>
      </c>
      <c r="E25" s="12">
        <v>89.13</v>
      </c>
      <c r="F25" s="12">
        <v>302.65999999999997</v>
      </c>
    </row>
    <row r="26" spans="1:6" x14ac:dyDescent="0.3">
      <c r="B26" t="s">
        <v>6218</v>
      </c>
      <c r="C26" s="12">
        <v>376.03</v>
      </c>
      <c r="D26" s="12">
        <v>523.24</v>
      </c>
      <c r="E26" s="12">
        <v>440.96499999999997</v>
      </c>
      <c r="F26" s="12">
        <v>174.46999999999997</v>
      </c>
    </row>
    <row r="27" spans="1:6" x14ac:dyDescent="0.3">
      <c r="B27" t="s">
        <v>6219</v>
      </c>
      <c r="C27" s="12">
        <v>515.17999999999995</v>
      </c>
      <c r="D27" s="12">
        <v>142.56</v>
      </c>
      <c r="E27" s="12">
        <v>347.03999999999996</v>
      </c>
      <c r="F27" s="12">
        <v>104.08499999999999</v>
      </c>
    </row>
    <row r="28" spans="1:6" x14ac:dyDescent="0.3">
      <c r="B28" t="s">
        <v>6220</v>
      </c>
      <c r="C28" s="12">
        <v>95.859999999999985</v>
      </c>
      <c r="D28" s="12">
        <v>484.76</v>
      </c>
      <c r="E28" s="12">
        <v>94.17</v>
      </c>
      <c r="F28" s="12">
        <v>77.10499999999999</v>
      </c>
    </row>
    <row r="29" spans="1:6" x14ac:dyDescent="0.3">
      <c r="A29" t="s">
        <v>6207</v>
      </c>
      <c r="B29" t="s">
        <v>6209</v>
      </c>
      <c r="C29" s="12">
        <v>258.34500000000003</v>
      </c>
      <c r="D29" s="12">
        <v>139.625</v>
      </c>
      <c r="E29" s="12">
        <v>279.52000000000004</v>
      </c>
      <c r="F29" s="12">
        <v>160.19499999999999</v>
      </c>
    </row>
    <row r="30" spans="1:6" x14ac:dyDescent="0.3">
      <c r="B30" t="s">
        <v>6210</v>
      </c>
      <c r="C30" s="12">
        <v>342.2</v>
      </c>
      <c r="D30" s="12">
        <v>284.24999999999994</v>
      </c>
      <c r="E30" s="12">
        <v>251.83</v>
      </c>
      <c r="F30" s="12">
        <v>80.550000000000011</v>
      </c>
    </row>
    <row r="31" spans="1:6" x14ac:dyDescent="0.3">
      <c r="B31" t="s">
        <v>6211</v>
      </c>
      <c r="C31" s="12">
        <v>418.30499999999989</v>
      </c>
      <c r="D31" s="12">
        <v>468.125</v>
      </c>
      <c r="E31" s="12">
        <v>405.05500000000006</v>
      </c>
      <c r="F31" s="12">
        <v>253.15499999999997</v>
      </c>
    </row>
    <row r="32" spans="1:6" x14ac:dyDescent="0.3">
      <c r="B32" t="s">
        <v>6212</v>
      </c>
      <c r="C32" s="12">
        <v>102.32999999999998</v>
      </c>
      <c r="D32" s="12">
        <v>242.14000000000001</v>
      </c>
      <c r="E32" s="12">
        <v>554.875</v>
      </c>
      <c r="F32" s="12">
        <v>106.23999999999998</v>
      </c>
    </row>
    <row r="33" spans="1:6" x14ac:dyDescent="0.3">
      <c r="B33" t="s">
        <v>6213</v>
      </c>
      <c r="C33" s="12">
        <v>234.71999999999997</v>
      </c>
      <c r="D33" s="12">
        <v>133.08000000000001</v>
      </c>
      <c r="E33" s="12">
        <v>267.2</v>
      </c>
      <c r="F33" s="12">
        <v>272.68999999999994</v>
      </c>
    </row>
    <row r="34" spans="1:6" x14ac:dyDescent="0.3">
      <c r="B34" t="s">
        <v>6214</v>
      </c>
      <c r="C34" s="12">
        <v>430.39</v>
      </c>
      <c r="D34" s="12">
        <v>136.20500000000001</v>
      </c>
      <c r="E34" s="12">
        <v>209.6</v>
      </c>
      <c r="F34" s="12">
        <v>88.334999999999994</v>
      </c>
    </row>
    <row r="35" spans="1:6" x14ac:dyDescent="0.3">
      <c r="B35" t="s">
        <v>6215</v>
      </c>
      <c r="C35" s="12">
        <v>109.005</v>
      </c>
      <c r="D35" s="12">
        <v>393.57499999999999</v>
      </c>
      <c r="E35" s="12">
        <v>61.034999999999997</v>
      </c>
      <c r="F35" s="12">
        <v>199.48999999999998</v>
      </c>
    </row>
    <row r="36" spans="1:6" x14ac:dyDescent="0.3">
      <c r="B36" t="s">
        <v>6216</v>
      </c>
      <c r="C36" s="12">
        <v>287.52499999999998</v>
      </c>
      <c r="D36" s="12">
        <v>288.67</v>
      </c>
      <c r="E36" s="12">
        <v>125.58</v>
      </c>
      <c r="F36" s="12">
        <v>374.13499999999999</v>
      </c>
    </row>
    <row r="37" spans="1:6" x14ac:dyDescent="0.3">
      <c r="B37" t="s">
        <v>6217</v>
      </c>
      <c r="C37" s="12">
        <v>840.92999999999984</v>
      </c>
      <c r="D37" s="12">
        <v>409.875</v>
      </c>
      <c r="E37" s="12">
        <v>171.32999999999998</v>
      </c>
      <c r="F37" s="12">
        <v>221.43999999999997</v>
      </c>
    </row>
    <row r="38" spans="1:6" x14ac:dyDescent="0.3">
      <c r="B38" t="s">
        <v>6218</v>
      </c>
      <c r="C38" s="12">
        <v>299.07</v>
      </c>
      <c r="D38" s="12">
        <v>260.32499999999999</v>
      </c>
      <c r="E38" s="12">
        <v>584.64</v>
      </c>
      <c r="F38" s="12">
        <v>256.36500000000001</v>
      </c>
    </row>
    <row r="39" spans="1:6" x14ac:dyDescent="0.3">
      <c r="B39" t="s">
        <v>6219</v>
      </c>
      <c r="C39" s="12">
        <v>323.32499999999999</v>
      </c>
      <c r="D39" s="12">
        <v>565.57000000000005</v>
      </c>
      <c r="E39" s="12">
        <v>537.80999999999995</v>
      </c>
      <c r="F39" s="12">
        <v>189.47499999999999</v>
      </c>
    </row>
    <row r="40" spans="1:6" x14ac:dyDescent="0.3">
      <c r="B40" t="s">
        <v>6220</v>
      </c>
      <c r="C40" s="12">
        <v>399.48499999999996</v>
      </c>
      <c r="D40" s="12">
        <v>148.19999999999999</v>
      </c>
      <c r="E40" s="12">
        <v>388.21999999999997</v>
      </c>
      <c r="F40" s="12">
        <v>212.07499999999999</v>
      </c>
    </row>
    <row r="41" spans="1:6" x14ac:dyDescent="0.3">
      <c r="A41" t="s">
        <v>6208</v>
      </c>
      <c r="B41" t="s">
        <v>6209</v>
      </c>
      <c r="C41" s="12">
        <v>112.69499999999999</v>
      </c>
      <c r="D41" s="12">
        <v>166.32</v>
      </c>
      <c r="E41" s="12">
        <v>843.71499999999992</v>
      </c>
      <c r="F41" s="12">
        <v>146.685</v>
      </c>
    </row>
    <row r="42" spans="1:6" x14ac:dyDescent="0.3">
      <c r="B42" t="s">
        <v>6210</v>
      </c>
      <c r="C42" s="12">
        <v>114.87999999999998</v>
      </c>
      <c r="D42" s="12">
        <v>133.815</v>
      </c>
      <c r="E42" s="12">
        <v>91.175000000000011</v>
      </c>
      <c r="F42" s="12">
        <v>53.759999999999991</v>
      </c>
    </row>
    <row r="43" spans="1:6" x14ac:dyDescent="0.3">
      <c r="B43" t="s">
        <v>6211</v>
      </c>
      <c r="C43" s="12">
        <v>277.76</v>
      </c>
      <c r="D43" s="12">
        <v>175.41</v>
      </c>
      <c r="E43" s="12">
        <v>462.50999999999993</v>
      </c>
      <c r="F43" s="12">
        <v>399.52499999999998</v>
      </c>
    </row>
    <row r="44" spans="1:6" x14ac:dyDescent="0.3">
      <c r="B44" t="s">
        <v>6212</v>
      </c>
      <c r="C44" s="12">
        <v>197.89499999999998</v>
      </c>
      <c r="D44" s="12">
        <v>289.755</v>
      </c>
      <c r="E44" s="12">
        <v>88.545000000000002</v>
      </c>
      <c r="F44" s="12">
        <v>200.25499999999997</v>
      </c>
    </row>
    <row r="45" spans="1:6" x14ac:dyDescent="0.3">
      <c r="B45" t="s">
        <v>6213</v>
      </c>
      <c r="C45" s="12">
        <v>193.11499999999998</v>
      </c>
      <c r="D45" s="12">
        <v>212.49499999999998</v>
      </c>
      <c r="E45" s="12">
        <v>292.29000000000002</v>
      </c>
      <c r="F45" s="12">
        <v>304.46999999999997</v>
      </c>
    </row>
    <row r="46" spans="1:6" x14ac:dyDescent="0.3">
      <c r="B46" t="s">
        <v>6214</v>
      </c>
      <c r="C46" s="12">
        <v>179.79</v>
      </c>
      <c r="D46" s="12">
        <v>426.2</v>
      </c>
      <c r="E46" s="12">
        <v>170.08999999999997</v>
      </c>
      <c r="F46" s="12">
        <v>379.31</v>
      </c>
    </row>
    <row r="47" spans="1:6" x14ac:dyDescent="0.3">
      <c r="B47" t="s">
        <v>6215</v>
      </c>
      <c r="C47" s="12">
        <v>247.28999999999996</v>
      </c>
      <c r="D47" s="12">
        <v>246.685</v>
      </c>
      <c r="E47" s="12">
        <v>271.05499999999995</v>
      </c>
      <c r="F47" s="12">
        <v>141.69999999999999</v>
      </c>
    </row>
    <row r="48" spans="1:6" x14ac:dyDescent="0.3">
      <c r="B48" t="s">
        <v>6216</v>
      </c>
      <c r="C48" s="12">
        <v>116.39499999999998</v>
      </c>
      <c r="D48" s="12">
        <v>41.25</v>
      </c>
      <c r="E48" s="12">
        <v>15.54</v>
      </c>
      <c r="F48" s="12">
        <v>71.06</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B183-AA17-4D31-A049-6F8F2961F715}">
  <dimension ref="A3:B7"/>
  <sheetViews>
    <sheetView workbookViewId="0">
      <selection activeCell="B3" sqref="B3"/>
    </sheetView>
  </sheetViews>
  <sheetFormatPr defaultRowHeight="14.4" x14ac:dyDescent="0.3"/>
  <cols>
    <col min="1" max="1" width="14" bestFit="1" customWidth="1"/>
    <col min="2" max="2" width="11.6640625" bestFit="1" customWidth="1"/>
  </cols>
  <sheetData>
    <row r="3" spans="1:2" x14ac:dyDescent="0.3">
      <c r="A3" s="10" t="s">
        <v>6203</v>
      </c>
      <c r="B3" t="s">
        <v>6202</v>
      </c>
    </row>
    <row r="4" spans="1:2" x14ac:dyDescent="0.3">
      <c r="A4" s="11" t="s">
        <v>318</v>
      </c>
      <c r="B4" s="9">
        <v>6696.8649999999989</v>
      </c>
    </row>
    <row r="5" spans="1:2" x14ac:dyDescent="0.3">
      <c r="A5" s="11" t="s">
        <v>28</v>
      </c>
      <c r="B5" s="9">
        <v>2798.5050000000001</v>
      </c>
    </row>
    <row r="6" spans="1:2" x14ac:dyDescent="0.3">
      <c r="A6" s="11" t="s">
        <v>19</v>
      </c>
      <c r="B6" s="9">
        <v>35638.88499999998</v>
      </c>
    </row>
    <row r="7" spans="1:2" x14ac:dyDescent="0.3">
      <c r="A7" s="11" t="s">
        <v>6204</v>
      </c>
      <c r="B7" s="9">
        <v>45134.254999999976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A506-358E-406C-A6CD-1DD1EC390587}">
  <dimension ref="A3:B9"/>
  <sheetViews>
    <sheetView workbookViewId="0">
      <selection activeCell="A3" sqref="A3"/>
    </sheetView>
  </sheetViews>
  <sheetFormatPr defaultRowHeight="14.4" x14ac:dyDescent="0.3"/>
  <cols>
    <col min="1" max="1" width="15.109375" bestFit="1" customWidth="1"/>
    <col min="2" max="2" width="11.6640625" bestFit="1" customWidth="1"/>
  </cols>
  <sheetData>
    <row r="3" spans="1:2" x14ac:dyDescent="0.3">
      <c r="A3" s="10" t="s">
        <v>6203</v>
      </c>
      <c r="B3" t="s">
        <v>6202</v>
      </c>
    </row>
    <row r="4" spans="1:2" x14ac:dyDescent="0.3">
      <c r="A4" s="11" t="s">
        <v>5114</v>
      </c>
      <c r="B4" s="9">
        <v>317.06999999999994</v>
      </c>
    </row>
    <row r="5" spans="1:2" x14ac:dyDescent="0.3">
      <c r="A5" s="11" t="s">
        <v>5765</v>
      </c>
      <c r="B5" s="9">
        <v>307.04499999999996</v>
      </c>
    </row>
    <row r="6" spans="1:2" x14ac:dyDescent="0.3">
      <c r="A6" s="11" t="s">
        <v>3753</v>
      </c>
      <c r="B6" s="9">
        <v>278.01</v>
      </c>
    </row>
    <row r="7" spans="1:2" x14ac:dyDescent="0.3">
      <c r="A7" s="11" t="s">
        <v>1598</v>
      </c>
      <c r="B7" s="9">
        <v>281.67499999999995</v>
      </c>
    </row>
    <row r="8" spans="1:2" x14ac:dyDescent="0.3">
      <c r="A8" s="11" t="s">
        <v>2587</v>
      </c>
      <c r="B8" s="9">
        <v>289.11</v>
      </c>
    </row>
    <row r="9" spans="1:2" x14ac:dyDescent="0.3">
      <c r="A9" s="11" t="s">
        <v>6204</v>
      </c>
      <c r="B9" s="9">
        <v>1472.9099999999999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7AD9-23CB-4AC5-8709-ACC68386F38C}">
  <dimension ref="A1"/>
  <sheetViews>
    <sheetView showGridLines="0" tabSelected="1" zoomScale="70" zoomScaleNormal="70" workbookViewId="0">
      <selection activeCell="AD16" sqref="AD15:AD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SalesbyCountry</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Dharmesh Makwana</cp:lastModifiedBy>
  <cp:revision/>
  <dcterms:created xsi:type="dcterms:W3CDTF">2022-11-26T09:51:45Z</dcterms:created>
  <dcterms:modified xsi:type="dcterms:W3CDTF">2026-03-15T14:14:53Z</dcterms:modified>
  <cp:category/>
  <cp:contentStatus/>
</cp:coreProperties>
</file>